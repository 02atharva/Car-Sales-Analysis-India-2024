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13_ncr:1_{973B8078-6632-40A0-96B0-AD392ADCD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Brand Performance" sheetId="6" r:id="rId2"/>
    <sheet name="Monthly Sales Trend" sheetId="12" r:id="rId3"/>
    <sheet name="Segment Wise Sales " sheetId="15" r:id="rId4"/>
    <sheet name="Body Type Sales Distribution" sheetId="8" r:id="rId5"/>
    <sheet name="Top 10 Cars Sold in 2024" sheetId="9" r:id="rId6"/>
    <sheet name="Least Sale Cars in 2024" sheetId="11" r:id="rId7"/>
    <sheet name="Brand Positioning" sheetId="10" r:id="rId8"/>
    <sheet name="Excel_Insights" sheetId="14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2" i="1"/>
</calcChain>
</file>

<file path=xl/sharedStrings.xml><?xml version="1.0" encoding="utf-8"?>
<sst xmlns="http://schemas.openxmlformats.org/spreadsheetml/2006/main" count="485" uniqueCount="153">
  <si>
    <t>Model</t>
  </si>
  <si>
    <t>Citroen</t>
  </si>
  <si>
    <t>C3</t>
  </si>
  <si>
    <t>Aircross</t>
  </si>
  <si>
    <t>C5 Aircross</t>
  </si>
  <si>
    <t>e-C3</t>
  </si>
  <si>
    <t>Honda</t>
  </si>
  <si>
    <t>Amaze</t>
  </si>
  <si>
    <t>City</t>
  </si>
  <si>
    <t>C2</t>
  </si>
  <si>
    <t>Sedan</t>
  </si>
  <si>
    <t>Elevate</t>
  </si>
  <si>
    <t>Hyundai</t>
  </si>
  <si>
    <t>Alcazar</t>
  </si>
  <si>
    <t>Creta</t>
  </si>
  <si>
    <t>Exter</t>
  </si>
  <si>
    <t>i20</t>
  </si>
  <si>
    <t>B2</t>
  </si>
  <si>
    <t>Premium</t>
  </si>
  <si>
    <t>Kona</t>
  </si>
  <si>
    <t>Tucson</t>
  </si>
  <si>
    <t>Venue</t>
  </si>
  <si>
    <t>Verna</t>
  </si>
  <si>
    <t>Jeep</t>
  </si>
  <si>
    <t>Compass</t>
  </si>
  <si>
    <t>Meridian</t>
  </si>
  <si>
    <t>Kia</t>
  </si>
  <si>
    <t>Carens</t>
  </si>
  <si>
    <t>Carnival</t>
  </si>
  <si>
    <t>MUV</t>
  </si>
  <si>
    <t>EV6</t>
  </si>
  <si>
    <t>Seltos</t>
  </si>
  <si>
    <t>Sonet</t>
  </si>
  <si>
    <t>Wrangler</t>
  </si>
  <si>
    <t>April</t>
  </si>
  <si>
    <t>January</t>
  </si>
  <si>
    <t>February</t>
  </si>
  <si>
    <t>March</t>
  </si>
  <si>
    <t>May</t>
  </si>
  <si>
    <t>June</t>
  </si>
  <si>
    <t>Segment</t>
  </si>
  <si>
    <t>Make</t>
  </si>
  <si>
    <t>Ioniq 5</t>
  </si>
  <si>
    <t>C1</t>
  </si>
  <si>
    <t>D2</t>
  </si>
  <si>
    <t>D1</t>
  </si>
  <si>
    <t>SUV</t>
  </si>
  <si>
    <t>Hatchback</t>
  </si>
  <si>
    <t>Basalt</t>
  </si>
  <si>
    <t>Aura</t>
  </si>
  <si>
    <t>Utility</t>
  </si>
  <si>
    <t>Mahindra</t>
  </si>
  <si>
    <t>Bolero</t>
  </si>
  <si>
    <t>Marazzo</t>
  </si>
  <si>
    <t>Scorpio</t>
  </si>
  <si>
    <t>Thar</t>
  </si>
  <si>
    <t>XUV300, XUV 3X0</t>
  </si>
  <si>
    <t>XUV400</t>
  </si>
  <si>
    <t>XUV700</t>
  </si>
  <si>
    <t>Maruti</t>
  </si>
  <si>
    <t>Alto</t>
  </si>
  <si>
    <t>A</t>
  </si>
  <si>
    <t>Baleno</t>
  </si>
  <si>
    <t>Brezza</t>
  </si>
  <si>
    <t>Celerio</t>
  </si>
  <si>
    <t>B1</t>
  </si>
  <si>
    <t>Ciaz</t>
  </si>
  <si>
    <t>Eeco</t>
  </si>
  <si>
    <t>Ertiga</t>
  </si>
  <si>
    <t>Fronx</t>
  </si>
  <si>
    <t>Grand Vitara</t>
  </si>
  <si>
    <t>Ignis</t>
  </si>
  <si>
    <t>Invicto</t>
  </si>
  <si>
    <t>Jimny</t>
  </si>
  <si>
    <t>S-Presso</t>
  </si>
  <si>
    <t>Swift</t>
  </si>
  <si>
    <t>WagonR</t>
  </si>
  <si>
    <t>XL6</t>
  </si>
  <si>
    <t>MG</t>
  </si>
  <si>
    <t>Astor</t>
  </si>
  <si>
    <t>Comet</t>
  </si>
  <si>
    <t>Gloster</t>
  </si>
  <si>
    <t>Hector</t>
  </si>
  <si>
    <t>Windsor</t>
  </si>
  <si>
    <t>ZS EV</t>
  </si>
  <si>
    <t>Premuim</t>
  </si>
  <si>
    <t>Nissan</t>
  </si>
  <si>
    <t>Magnite</t>
  </si>
  <si>
    <t>X-Trail</t>
  </si>
  <si>
    <t>Renault</t>
  </si>
  <si>
    <t>Kiger</t>
  </si>
  <si>
    <t>Kwid</t>
  </si>
  <si>
    <t>Triber</t>
  </si>
  <si>
    <t>Skoda</t>
  </si>
  <si>
    <t>Kodiaq</t>
  </si>
  <si>
    <t>Kushaq</t>
  </si>
  <si>
    <t>Slavia</t>
  </si>
  <si>
    <t>Superb</t>
  </si>
  <si>
    <t>Tata</t>
  </si>
  <si>
    <t>Altroz</t>
  </si>
  <si>
    <t>Curvv</t>
  </si>
  <si>
    <t>Harrier</t>
  </si>
  <si>
    <t>Nexon</t>
  </si>
  <si>
    <t>Punch</t>
  </si>
  <si>
    <t>Safari</t>
  </si>
  <si>
    <t>Tiago</t>
  </si>
  <si>
    <t>Tigor</t>
  </si>
  <si>
    <t>Toyota</t>
  </si>
  <si>
    <t>Camry</t>
  </si>
  <si>
    <t>Fortuner</t>
  </si>
  <si>
    <t>Glanza</t>
  </si>
  <si>
    <t>Hilux</t>
  </si>
  <si>
    <t>Others</t>
  </si>
  <si>
    <t>Hyryder</t>
  </si>
  <si>
    <t>Innova Crysta, Innova Hycross</t>
  </si>
  <si>
    <t>Land Cruiser</t>
  </si>
  <si>
    <t>Rumion</t>
  </si>
  <si>
    <t xml:space="preserve">
Utility</t>
  </si>
  <si>
    <t>Taisor</t>
  </si>
  <si>
    <t>Vellfire</t>
  </si>
  <si>
    <t>Volkswagen</t>
  </si>
  <si>
    <t>Taigun</t>
  </si>
  <si>
    <t>Tiguan</t>
  </si>
  <si>
    <t>Virtus</t>
  </si>
  <si>
    <t xml:space="preserve">Grand i10 </t>
  </si>
  <si>
    <t>December</t>
  </si>
  <si>
    <t xml:space="preserve">November </t>
  </si>
  <si>
    <t xml:space="preserve">October </t>
  </si>
  <si>
    <t>September</t>
  </si>
  <si>
    <t>August</t>
  </si>
  <si>
    <t>July</t>
  </si>
  <si>
    <t>Total</t>
  </si>
  <si>
    <t>Dzire</t>
  </si>
  <si>
    <t>Body_Type</t>
  </si>
  <si>
    <t>MoM_Percent</t>
  </si>
  <si>
    <t>YoY_Percent</t>
  </si>
  <si>
    <t>Total_Check</t>
  </si>
  <si>
    <t>Row Labels</t>
  </si>
  <si>
    <t>Sum of Total</t>
  </si>
  <si>
    <t>Grand Total</t>
  </si>
  <si>
    <t>(blank)</t>
  </si>
  <si>
    <t>Column Labels</t>
  </si>
  <si>
    <t/>
  </si>
  <si>
    <t>Brand Positioning by Segment</t>
  </si>
  <si>
    <r>
      <t xml:space="preserve"> </t>
    </r>
    <r>
      <rPr>
        <sz val="22"/>
        <color theme="1"/>
        <rFont val="Aptos Narrow"/>
        <family val="2"/>
        <scheme val="minor"/>
      </rPr>
      <t>By Segment</t>
    </r>
  </si>
  <si>
    <t>Sum of Sales</t>
  </si>
  <si>
    <t>Excel_Insights</t>
  </si>
  <si>
    <t>Total car sales in 2024 show clear seasonal variation across months</t>
  </si>
  <si>
    <t>Sales peak during festive months, indicating higher consumer demand</t>
  </si>
  <si>
    <t>Top 5 brands contribute a majority share of overall sales</t>
  </si>
  <si>
    <t>SUV body type dominates the market compared to sedans and hatchbacks</t>
  </si>
  <si>
    <t>A small number of models drive most of the sales volume for leading brands</t>
  </si>
  <si>
    <t>Some brands show consistent monthly performance, while others are volatile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</si>
</sst>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7" fontId="1" fillId="0" borderId="0" xfId="0" applyNumberFormat="1" applyFont="1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  <xf numFmtId="0" fontId="3" fillId="6" borderId="0" xfId="0" applyFont="1" applyFill="1"/>
    <xf numFmtId="0" fontId="5" fillId="6" borderId="0" xfId="0" applyFont="1" applyFill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0" borderId="0" xfId="0" applyFill="1"/>
    <xf numFmtId="0" fontId="7" fillId="0" borderId="0" xfId="0" applyFont="1" applyAlignment="1">
      <alignment horizontal="left" vertical="center" indent="1"/>
    </xf>
    <xf numFmtId="0" fontId="7" fillId="0" borderId="0" xfId="0" applyFont="1"/>
  </cellXfs>
  <cellStyles count="1">
    <cellStyle name="Normal" xfId="0" builtinId="0"/>
  </cellStyles>
  <dxfs count="41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India 2024_Updated.xlsx]Brand Performance!PivotTable6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</a:t>
            </a:r>
            <a:r>
              <a:rPr lang="en-US" baseline="0"/>
              <a:t> Performance</a:t>
            </a:r>
            <a:endParaRPr lang="en-US"/>
          </a:p>
        </c:rich>
      </c:tx>
      <c:layout>
        <c:manualLayout>
          <c:xMode val="edge"/>
          <c:yMode val="edge"/>
          <c:x val="0.3068818897637795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'Brand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'Brand Performance'!$A$4:$A$9</c:f>
              <c:strCache>
                <c:ptCount val="5"/>
                <c:pt idx="0">
                  <c:v>Maruti</c:v>
                </c:pt>
                <c:pt idx="1">
                  <c:v>Hyundai</c:v>
                </c:pt>
                <c:pt idx="2">
                  <c:v>Tata</c:v>
                </c:pt>
                <c:pt idx="3">
                  <c:v>Mahindra</c:v>
                </c:pt>
                <c:pt idx="4">
                  <c:v>Toyota</c:v>
                </c:pt>
              </c:strCache>
            </c:strRef>
          </c:cat>
          <c:val>
            <c:numRef>
              <c:f>'Brand Performance'!$B$4:$B$9</c:f>
              <c:numCache>
                <c:formatCode>General</c:formatCode>
                <c:ptCount val="5"/>
                <c:pt idx="0">
                  <c:v>1753314</c:v>
                </c:pt>
                <c:pt idx="1">
                  <c:v>606133</c:v>
                </c:pt>
                <c:pt idx="2">
                  <c:v>561102</c:v>
                </c:pt>
                <c:pt idx="3">
                  <c:v>528460</c:v>
                </c:pt>
                <c:pt idx="4">
                  <c:v>300159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8-4485-BF6C-28A0980CC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618150288"/>
        <c:axId val="618142128"/>
        <c:axId val="0"/>
      </c:bar3DChart>
      <c:catAx>
        <c:axId val="618150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42128"/>
        <c:crosses val="autoZero"/>
        <c:auto val="1"/>
        <c:lblAlgn val="ctr"/>
        <c:lblOffset val="100"/>
        <c:noMultiLvlLbl val="0"/>
      </c:catAx>
      <c:valAx>
        <c:axId val="618142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8150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India 2024_Updated.xlsx]Monthly Sales Trend!PivotTable2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6471597560000285"/>
          <c:y val="8.06680737072814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29310532859294"/>
          <c:y val="0.20992065102686902"/>
          <c:w val="0.74935510138794981"/>
          <c:h val="0.5588041507698134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Trend'!$B$2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'Monthly Sales Trend'!$A$3:$A$15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December</c:v>
                </c:pt>
                <c:pt idx="10">
                  <c:v>November </c:v>
                </c:pt>
                <c:pt idx="11">
                  <c:v>October </c:v>
                </c:pt>
              </c:strCache>
            </c:strRef>
          </c:cat>
          <c:val>
            <c:numRef>
              <c:f>'Monthly Sales Trend'!$B$3:$B$15</c:f>
              <c:numCache>
                <c:formatCode>General</c:formatCode>
                <c:ptCount val="12"/>
                <c:pt idx="0">
                  <c:v>393471</c:v>
                </c:pt>
                <c:pt idx="1">
                  <c:v>370279</c:v>
                </c:pt>
                <c:pt idx="2">
                  <c:v>369381</c:v>
                </c:pt>
                <c:pt idx="3">
                  <c:v>337770</c:v>
                </c:pt>
                <c:pt idx="4">
                  <c:v>349057</c:v>
                </c:pt>
                <c:pt idx="5">
                  <c:v>338047</c:v>
                </c:pt>
                <c:pt idx="6">
                  <c:v>343026</c:v>
                </c:pt>
                <c:pt idx="7">
                  <c:v>354273</c:v>
                </c:pt>
                <c:pt idx="8">
                  <c:v>358879</c:v>
                </c:pt>
                <c:pt idx="9">
                  <c:v>321345</c:v>
                </c:pt>
                <c:pt idx="10">
                  <c:v>351592</c:v>
                </c:pt>
                <c:pt idx="11">
                  <c:v>397947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B-4309-8C78-EDAEC019F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221760"/>
        <c:axId val="1970222240"/>
      </c:lineChart>
      <c:catAx>
        <c:axId val="1970221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>
            <c:manualLayout>
              <c:xMode val="edge"/>
              <c:yMode val="edge"/>
              <c:x val="0.4461725958077955"/>
              <c:y val="0.88838244446248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222240"/>
        <c:crosses val="autoZero"/>
        <c:auto val="1"/>
        <c:lblAlgn val="ctr"/>
        <c:lblOffset val="100"/>
        <c:noMultiLvlLbl val="0"/>
      </c:catAx>
      <c:valAx>
        <c:axId val="1970222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22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India 2024_Updated.xlsx]Segment Wise Sales 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Segment Wise Sales in 2024</a:t>
            </a:r>
          </a:p>
        </c:rich>
      </c:tx>
      <c:layout>
        <c:manualLayout>
          <c:xMode val="edge"/>
          <c:yMode val="edge"/>
          <c:x val="0.27436111111111111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9768641247754"/>
          <c:y val="0.16638702230284044"/>
          <c:w val="0.77364865530732319"/>
          <c:h val="0.6252621949227300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'Segment Wise 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 Wise Sales '!$A$4:$A$15</c:f>
              <c:strCache>
                <c:ptCount val="11"/>
                <c:pt idx="0">
                  <c:v>
Utility</c:v>
                </c:pt>
                <c:pt idx="1">
                  <c:v>A</c:v>
                </c:pt>
                <c:pt idx="2">
                  <c:v>B1</c:v>
                </c:pt>
                <c:pt idx="3">
                  <c:v>B2</c:v>
                </c:pt>
                <c:pt idx="4">
                  <c:v>C1</c:v>
                </c:pt>
                <c:pt idx="5">
                  <c:v>C2</c:v>
                </c:pt>
                <c:pt idx="6">
                  <c:v>D1</c:v>
                </c:pt>
                <c:pt idx="7">
                  <c:v>D2</c:v>
                </c:pt>
                <c:pt idx="8">
                  <c:v>Premium</c:v>
                </c:pt>
                <c:pt idx="9">
                  <c:v>Premuim</c:v>
                </c:pt>
                <c:pt idx="10">
                  <c:v>Utility</c:v>
                </c:pt>
              </c:strCache>
            </c:strRef>
          </c:cat>
          <c:val>
            <c:numRef>
              <c:f>'Segment Wise Sales '!$B$4:$B$15</c:f>
              <c:numCache>
                <c:formatCode>General</c:formatCode>
                <c:ptCount val="11"/>
                <c:pt idx="0">
                  <c:v>18099</c:v>
                </c:pt>
                <c:pt idx="1">
                  <c:v>140807</c:v>
                </c:pt>
                <c:pt idx="2">
                  <c:v>306051</c:v>
                </c:pt>
                <c:pt idx="3">
                  <c:v>589741</c:v>
                </c:pt>
                <c:pt idx="4">
                  <c:v>1439979</c:v>
                </c:pt>
                <c:pt idx="5">
                  <c:v>823824</c:v>
                </c:pt>
                <c:pt idx="6">
                  <c:v>269454</c:v>
                </c:pt>
                <c:pt idx="7">
                  <c:v>46925</c:v>
                </c:pt>
                <c:pt idx="8">
                  <c:v>2022</c:v>
                </c:pt>
                <c:pt idx="9">
                  <c:v>6983</c:v>
                </c:pt>
                <c:pt idx="10">
                  <c:v>640971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6-4EDC-9090-859A5C1493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771141615"/>
        <c:axId val="1771148335"/>
        <c:axId val="0"/>
      </c:bar3DChart>
      <c:catAx>
        <c:axId val="1771141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Segment</a:t>
                </a:r>
              </a:p>
            </c:rich>
          </c:tx>
          <c:layout>
            <c:manualLayout>
              <c:xMode val="edge"/>
              <c:yMode val="edge"/>
              <c:x val="0.4345487751531058"/>
              <c:y val="0.87771653543307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148335"/>
        <c:crosses val="autoZero"/>
        <c:auto val="1"/>
        <c:lblAlgn val="ctr"/>
        <c:lblOffset val="100"/>
        <c:noMultiLvlLbl val="0"/>
      </c:catAx>
      <c:valAx>
        <c:axId val="177114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>
            <c:manualLayout>
              <c:xMode val="edge"/>
              <c:yMode val="edge"/>
              <c:x val="4.7561420279286115E-2"/>
              <c:y val="0.38928749051596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14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India 2024_Updated.xlsx]Body Type Sales Distribution!PivotTable7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Body</a:t>
            </a:r>
            <a:r>
              <a:rPr lang="en-IN" baseline="0"/>
              <a:t> Type</a:t>
            </a:r>
            <a:r>
              <a:rPr lang="en-IN"/>
              <a:t> Sales Distribution</a:t>
            </a:r>
          </a:p>
        </c:rich>
      </c:tx>
      <c:layout>
        <c:manualLayout>
          <c:xMode val="edge"/>
          <c:yMode val="edge"/>
          <c:x val="0.21768392831264191"/>
          <c:y val="4.6937827461832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'Body Type Sales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E61-4362-B3AB-BCA928FE97B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E61-4362-B3AB-BCA928FE97B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E61-4362-B3AB-BCA928FE97B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E61-4362-B3AB-BCA928FE97B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E61-4362-B3AB-BCA928FE97BD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'Body Type Sales Distribution'!$A$4:$A$9</c:f>
              <c:strCache>
                <c:ptCount val="5"/>
                <c:pt idx="0">
                  <c:v>Hatchback</c:v>
                </c:pt>
                <c:pt idx="1">
                  <c:v>MUV</c:v>
                </c:pt>
                <c:pt idx="2">
                  <c:v>Others</c:v>
                </c:pt>
                <c:pt idx="3">
                  <c:v>Sedan</c:v>
                </c:pt>
                <c:pt idx="4">
                  <c:v>SUV</c:v>
                </c:pt>
              </c:strCache>
            </c:strRef>
          </c:cat>
          <c:val>
            <c:numRef>
              <c:f>'Body Type Sales Distribution'!$B$4:$B$9</c:f>
              <c:numCache>
                <c:formatCode>General</c:formatCode>
                <c:ptCount val="5"/>
                <c:pt idx="0">
                  <c:v>1062325</c:v>
                </c:pt>
                <c:pt idx="1">
                  <c:v>713490</c:v>
                </c:pt>
                <c:pt idx="2">
                  <c:v>2902</c:v>
                </c:pt>
                <c:pt idx="3">
                  <c:v>344537</c:v>
                </c:pt>
                <c:pt idx="4">
                  <c:v>2161602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C-47FB-B469-699EE3EED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India 2024_Updated.xlsx]Top 10 Cars Sold in 2024!PivotTable8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Cars Sold in 2024</a:t>
            </a:r>
          </a:p>
        </c:rich>
      </c:tx>
      <c:layout>
        <c:manualLayout>
          <c:xMode val="edge"/>
          <c:yMode val="edge"/>
          <c:x val="0.34781648056704778"/>
          <c:y val="5.0772854823421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6283976155522931"/>
          <c:y val="0.13853606499425949"/>
          <c:w val="0.61057894775864885"/>
          <c:h val="0.7338585805498985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'Top 10 Cars Sold in 2024'!$B$3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'Top 10 Cars Sold in 2024'!$A$4:$A$14</c:f>
              <c:strCache>
                <c:ptCount val="10"/>
                <c:pt idx="0">
                  <c:v>Punch</c:v>
                </c:pt>
                <c:pt idx="1">
                  <c:v>WagonR</c:v>
                </c:pt>
                <c:pt idx="2">
                  <c:v>Ertiga</c:v>
                </c:pt>
                <c:pt idx="3">
                  <c:v>Brezza</c:v>
                </c:pt>
                <c:pt idx="4">
                  <c:v>Creta</c:v>
                </c:pt>
                <c:pt idx="5">
                  <c:v>Swift</c:v>
                </c:pt>
                <c:pt idx="6">
                  <c:v>Baleno</c:v>
                </c:pt>
                <c:pt idx="7">
                  <c:v>Dzire</c:v>
                </c:pt>
                <c:pt idx="8">
                  <c:v>Scorpio</c:v>
                </c:pt>
                <c:pt idx="9">
                  <c:v>Nexon</c:v>
                </c:pt>
              </c:strCache>
            </c:strRef>
          </c:cat>
          <c:val>
            <c:numRef>
              <c:f>'Top 10 Cars Sold in 2024'!$B$4:$B$14</c:f>
              <c:numCache>
                <c:formatCode>General</c:formatCode>
                <c:ptCount val="10"/>
                <c:pt idx="0">
                  <c:v>202031</c:v>
                </c:pt>
                <c:pt idx="1">
                  <c:v>190855</c:v>
                </c:pt>
                <c:pt idx="2">
                  <c:v>190091</c:v>
                </c:pt>
                <c:pt idx="3">
                  <c:v>188160</c:v>
                </c:pt>
                <c:pt idx="4">
                  <c:v>186919</c:v>
                </c:pt>
                <c:pt idx="5">
                  <c:v>172808</c:v>
                </c:pt>
                <c:pt idx="6">
                  <c:v>172094</c:v>
                </c:pt>
                <c:pt idx="7">
                  <c:v>167988</c:v>
                </c:pt>
                <c:pt idx="8">
                  <c:v>166364</c:v>
                </c:pt>
                <c:pt idx="9">
                  <c:v>161611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F-4DBA-A119-5568FDC81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0487520"/>
        <c:axId val="680456800"/>
        <c:axId val="0"/>
      </c:bar3DChart>
      <c:catAx>
        <c:axId val="680487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Top  Cars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6800"/>
        <c:crosses val="autoZero"/>
        <c:auto val="1"/>
        <c:lblAlgn val="ctr"/>
        <c:lblOffset val="100"/>
        <c:noMultiLvlLbl val="0"/>
      </c:catAx>
      <c:valAx>
        <c:axId val="68045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Sold</a:t>
                </a:r>
              </a:p>
            </c:rich>
          </c:tx>
          <c:layout>
            <c:manualLayout>
              <c:xMode val="edge"/>
              <c:yMode val="edge"/>
              <c:x val="0.44625605693519077"/>
              <c:y val="0.932526662754474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8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India 2024_Updated.xlsx]Least Sale Cars in 2024!PivotTable2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Least 15 Cars Sold In 2024</a:t>
            </a:r>
          </a:p>
        </c:rich>
      </c:tx>
      <c:layout>
        <c:manualLayout>
          <c:xMode val="edge"/>
          <c:yMode val="edge"/>
          <c:x val="0.29898528665651952"/>
          <c:y val="7.2356738072682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835049216633899"/>
          <c:y val="0.16613493101348198"/>
          <c:w val="0.66723841254160565"/>
          <c:h val="0.7430984112851617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'Least Sale Cars in 2024'!$B$4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'Least Sale Cars in 2024'!$A$5:$A$20</c:f>
              <c:strCache>
                <c:ptCount val="15"/>
                <c:pt idx="0">
                  <c:v>Wrangler</c:v>
                </c:pt>
                <c:pt idx="1">
                  <c:v>Land Cruiser</c:v>
                </c:pt>
                <c:pt idx="2">
                  <c:v>(blank)</c:v>
                </c:pt>
                <c:pt idx="3">
                  <c:v>C5 Aircross</c:v>
                </c:pt>
                <c:pt idx="4">
                  <c:v>X-Trail</c:v>
                </c:pt>
                <c:pt idx="5">
                  <c:v>Superb</c:v>
                </c:pt>
                <c:pt idx="6">
                  <c:v>Kona</c:v>
                </c:pt>
                <c:pt idx="7">
                  <c:v>Marazzo</c:v>
                </c:pt>
                <c:pt idx="8">
                  <c:v>EV6</c:v>
                </c:pt>
                <c:pt idx="9">
                  <c:v>Ioniq 5</c:v>
                </c:pt>
                <c:pt idx="10">
                  <c:v>Carnival</c:v>
                </c:pt>
                <c:pt idx="11">
                  <c:v>Vellfire</c:v>
                </c:pt>
                <c:pt idx="12">
                  <c:v>Tiguan</c:v>
                </c:pt>
                <c:pt idx="13">
                  <c:v>Meridian</c:v>
                </c:pt>
                <c:pt idx="14">
                  <c:v>Basalt</c:v>
                </c:pt>
              </c:strCache>
            </c:strRef>
          </c:cat>
          <c:val>
            <c:numRef>
              <c:f>'Least Sale Cars in 2024'!$B$5:$B$20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3">
                  <c:v>9</c:v>
                </c:pt>
                <c:pt idx="4">
                  <c:v>22</c:v>
                </c:pt>
                <c:pt idx="5">
                  <c:v>66</c:v>
                </c:pt>
                <c:pt idx="6">
                  <c:v>259</c:v>
                </c:pt>
                <c:pt idx="7">
                  <c:v>273</c:v>
                </c:pt>
                <c:pt idx="8">
                  <c:v>292</c:v>
                </c:pt>
                <c:pt idx="9">
                  <c:v>528</c:v>
                </c:pt>
                <c:pt idx="10">
                  <c:v>599</c:v>
                </c:pt>
                <c:pt idx="11">
                  <c:v>943</c:v>
                </c:pt>
                <c:pt idx="12">
                  <c:v>1193</c:v>
                </c:pt>
                <c:pt idx="13">
                  <c:v>1218</c:v>
                </c:pt>
                <c:pt idx="14">
                  <c:v>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1-4D09-81DD-BA75743931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23967760"/>
        <c:axId val="1823967280"/>
        <c:axId val="0"/>
      </c:bar3DChart>
      <c:catAx>
        <c:axId val="182396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67280"/>
        <c:crosses val="autoZero"/>
        <c:auto val="1"/>
        <c:lblAlgn val="ctr"/>
        <c:lblOffset val="100"/>
        <c:noMultiLvlLbl val="0"/>
      </c:catAx>
      <c:valAx>
        <c:axId val="182396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1</xdr:row>
      <xdr:rowOff>7620</xdr:rowOff>
    </xdr:from>
    <xdr:to>
      <xdr:col>10</xdr:col>
      <xdr:colOff>358140</xdr:colOff>
      <xdr:row>16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0E6F5C-1C13-5EE4-61A0-53DFF774A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175260</xdr:rowOff>
    </xdr:from>
    <xdr:to>
      <xdr:col>11</xdr:col>
      <xdr:colOff>601980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431F2-ACFA-7FD0-5A95-AF893A11E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167640</xdr:rowOff>
    </xdr:from>
    <xdr:to>
      <xdr:col>13</xdr:col>
      <xdr:colOff>0</xdr:colOff>
      <xdr:row>16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193FB5-D1E4-C5BF-0D3A-7C7D626F4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171450</xdr:rowOff>
    </xdr:from>
    <xdr:to>
      <xdr:col>12</xdr:col>
      <xdr:colOff>83820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56223-068F-C66C-2CAC-61A1381B1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1</xdr:row>
      <xdr:rowOff>110490</xdr:rowOff>
    </xdr:from>
    <xdr:to>
      <xdr:col>8</xdr:col>
      <xdr:colOff>137160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58B20-0F7F-FE19-5C46-AA3086FCE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118110</xdr:rowOff>
    </xdr:from>
    <xdr:to>
      <xdr:col>12</xdr:col>
      <xdr:colOff>594360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A51C96-66A3-52FD-874B-077C36F5C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archive/Car%20Sales%20in%20India%20-%202024%20(Unpivot%20Version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 Bhusange" refreshedDate="46049.839834837963" createdVersion="8" refreshedVersion="8" minRefreshableVersion="3" recordCount="88" xr:uid="{27B3E63F-253C-4E3E-8C84-7A36A42758E9}">
  <cacheSource type="worksheet">
    <worksheetSource ref="A1:T1048576" sheet="Sheet1"/>
  </cacheSource>
  <cacheFields count="20">
    <cacheField name="Make" numFmtId="0">
      <sharedItems containsBlank="1" count="15">
        <s v="Citroen"/>
        <s v="Honda"/>
        <s v="Hyundai"/>
        <s v="Jeep"/>
        <s v="Kia"/>
        <s v="Mahindra"/>
        <s v="Maruti"/>
        <s v="MG"/>
        <s v="Nissan"/>
        <s v="Renault"/>
        <s v="Skoda"/>
        <s v="Tata"/>
        <s v="Toyota"/>
        <s v="Volkswagen"/>
        <m/>
      </sharedItems>
    </cacheField>
    <cacheField name="Model" numFmtId="0">
      <sharedItems containsBlank="1" count="88">
        <s v="Basalt"/>
        <s v="C3"/>
        <s v="Aircross"/>
        <s v="C5 Aircross"/>
        <s v="e-C3"/>
        <s v="Amaze"/>
        <s v="City"/>
        <s v="Elevate"/>
        <s v="Aura"/>
        <s v="Alcazar"/>
        <s v="Creta"/>
        <s v="Exter"/>
        <s v="Grand i10 "/>
        <s v="i20"/>
        <s v="Ioniq 5"/>
        <s v="Kona"/>
        <s v="Tucson"/>
        <s v="Venue"/>
        <s v="Verna"/>
        <s v="Compass"/>
        <s v="Meridian"/>
        <s v="Wrangler"/>
        <s v="Carens"/>
        <s v="Carnival"/>
        <s v="EV6"/>
        <s v="Seltos"/>
        <s v="Sonet"/>
        <s v="Bolero"/>
        <s v="Marazzo"/>
        <s v="Scorpio"/>
        <s v="Thar"/>
        <s v="XUV300, XUV 3X0"/>
        <s v="XUV400"/>
        <s v="XUV700"/>
        <s v="Alto"/>
        <s v="Baleno"/>
        <s v="Brezza"/>
        <s v="Celerio"/>
        <s v="Ciaz"/>
        <s v="Dzire"/>
        <s v="Eeco"/>
        <s v="Ertiga"/>
        <s v="Fronx"/>
        <s v="Grand Vitara"/>
        <s v="Ignis"/>
        <s v="Invicto"/>
        <s v="Jimny"/>
        <s v="S-Presso"/>
        <s v="Swift"/>
        <s v="WagonR"/>
        <s v="XL6"/>
        <s v="Astor"/>
        <s v="Comet"/>
        <s v="Gloster"/>
        <s v="Hector"/>
        <s v="Windsor"/>
        <s v="ZS EV"/>
        <s v="Magnite"/>
        <s v="X-Trail"/>
        <s v="Kiger"/>
        <s v="Kwid"/>
        <s v="Triber"/>
        <s v="Kodiaq"/>
        <s v="Kushaq"/>
        <s v="Slavia"/>
        <s v="Superb"/>
        <s v="Altroz"/>
        <s v="Curvv"/>
        <s v="Harrier"/>
        <s v="Nexon"/>
        <s v="Punch"/>
        <s v="Safari"/>
        <s v="Tiago"/>
        <s v="Tigor"/>
        <s v="Camry"/>
        <s v="Fortuner"/>
        <s v="Glanza"/>
        <s v="Hilux"/>
        <s v="Hyryder"/>
        <s v="Innova Crysta, Innova Hycross"/>
        <s v="Land Cruiser"/>
        <s v="Rumion"/>
        <s v="Taisor"/>
        <s v="Vellfire"/>
        <s v="Taigun"/>
        <s v="Tiguan"/>
        <s v="Virtus"/>
        <m/>
      </sharedItems>
    </cacheField>
    <cacheField name="January" numFmtId="0">
      <sharedItems containsString="0" containsBlank="1" containsNumber="1" containsInteger="1" minValue="0" maxValue="19630" count="79">
        <n v="0"/>
        <n v="234"/>
        <n v="231"/>
        <n v="1"/>
        <n v="184"/>
        <n v="2972"/>
        <n v="1123"/>
        <n v="4586"/>
        <n v="5516"/>
        <n v="1827"/>
        <n v="13212"/>
        <n v="8229"/>
        <n v="6865"/>
        <n v="7083"/>
        <n v="95"/>
        <n v="102"/>
        <n v="183"/>
        <n v="11831"/>
        <n v="2172"/>
        <n v="286"/>
        <n v="110"/>
        <n v="5848"/>
        <n v="6391"/>
        <n v="11530"/>
        <n v="9964"/>
        <n v="32"/>
        <n v="14293"/>
        <n v="6059"/>
        <n v="4817"/>
        <n v="697"/>
        <n v="7206"/>
        <n v="12395"/>
        <n v="19630"/>
        <n v="15303"/>
        <n v="4406"/>
        <n v="363"/>
        <n v="16773"/>
        <n v="12019"/>
        <n v="14632"/>
        <n v="13643"/>
        <n v="13438"/>
        <n v="2598"/>
        <n v="496"/>
        <n v="163"/>
        <n v="3454"/>
        <n v="15370"/>
        <n v="17756"/>
        <n v="4363"/>
        <n v="966"/>
        <n v="505"/>
        <n v="139"/>
        <n v="1817"/>
        <n v="398"/>
        <n v="2863"/>
        <n v="750"/>
        <n v="856"/>
        <n v="2220"/>
        <n v="53"/>
        <n v="1082"/>
        <n v="1242"/>
        <n v="4935"/>
        <n v="2626"/>
        <n v="17182"/>
        <n v="17978"/>
        <n v="2893"/>
        <n v="6482"/>
        <n v="1539"/>
        <n v="312"/>
        <n v="3213"/>
        <n v="3740"/>
        <n v="289"/>
        <n v="5543"/>
        <n v="9400"/>
        <n v="639"/>
        <n v="61"/>
        <n v="1275"/>
        <n v="113"/>
        <n v="1879"/>
        <m/>
      </sharedItems>
    </cacheField>
    <cacheField name="February" numFmtId="0">
      <sharedItems containsBlank="1" containsMixedTypes="1" containsNumber="1" containsInteger="1" minValue="0" maxValue="19412" count="78">
        <n v="0"/>
        <n v="211"/>
        <n v="127"/>
        <n v="83"/>
        <n v="2774"/>
        <n v="1184"/>
        <n v="3184"/>
        <n v="5053"/>
        <n v="1290"/>
        <n v="15276"/>
        <n v="7582"/>
        <n v="4947"/>
        <n v="5131"/>
        <n v="66"/>
        <n v="86"/>
        <n v="157"/>
        <n v="8933"/>
        <n v="1680"/>
        <n v="204"/>
        <n v="4832"/>
        <n v="1"/>
        <n v="6265"/>
        <n v="9102"/>
        <n v="10113"/>
        <n v="51"/>
        <n v="15051"/>
        <n v="5812"/>
        <n v="4218"/>
        <n v="610"/>
        <n v="6546"/>
        <n v="11723"/>
        <n v="17517"/>
        <n v="15765"/>
        <n v="3586"/>
        <n v="481"/>
        <n v="15837"/>
        <n v="12147"/>
        <n v="15519"/>
        <n v="14168"/>
        <n v="11002"/>
        <s v="2,11"/>
        <n v="366"/>
        <n v="322"/>
        <n v="3059"/>
        <n v="13165"/>
        <n v="19412"/>
        <n v="4093"/>
        <n v="1036"/>
        <n v="920"/>
        <n v="168"/>
        <n v="1826"/>
        <n v="582"/>
        <n v="2755"/>
        <n v="1047"/>
        <n v="828"/>
        <n v="2205"/>
        <n v="89"/>
        <n v="1137"/>
        <n v="1028"/>
        <n v="4568"/>
        <n v="2562"/>
        <n v="14395"/>
        <n v="18438"/>
        <n v="2648"/>
        <n v="6947"/>
        <n v="1712"/>
        <n v="210"/>
        <n v="3395"/>
        <n v="4581"/>
        <n v="245"/>
        <n v="5601"/>
        <n v="8481"/>
        <n v="730"/>
        <n v="57"/>
        <n v="1286"/>
        <n v="102"/>
        <n v="1631"/>
        <m/>
      </sharedItems>
    </cacheField>
    <cacheField name="March" numFmtId="0">
      <sharedItems containsString="0" containsBlank="1" containsNumber="1" containsInteger="1" minValue="0" maxValue="17547" count="80">
        <n v="0"/>
        <n v="265"/>
        <n v="211"/>
        <n v="530"/>
        <n v="2678"/>
        <n v="1116"/>
        <n v="3277"/>
        <n v="4883"/>
        <n v="1420"/>
        <n v="16458"/>
        <n v="8475"/>
        <n v="5034"/>
        <n v="5155"/>
        <n v="65"/>
        <n v="71"/>
        <n v="110"/>
        <n v="9614"/>
        <n v="1716"/>
        <n v="329"/>
        <n v="96"/>
        <n v="4737"/>
        <n v="1"/>
        <n v="7912"/>
        <n v="8750"/>
        <n v="10347"/>
        <n v="51"/>
        <n v="15151"/>
        <n v="6049"/>
        <n v="2072"/>
        <n v="350"/>
        <n v="6611"/>
        <n v="9332"/>
        <n v="15588"/>
        <n v="14614"/>
        <n v="3478"/>
        <n v="590"/>
        <n v="15894"/>
        <n v="12019"/>
        <n v="14888"/>
        <n v="12531"/>
        <n v="11232"/>
        <n v="2788"/>
        <n v="348"/>
        <n v="318"/>
        <n v="2497"/>
        <n v="15728"/>
        <n v="16368"/>
        <n v="4505"/>
        <n v="1274"/>
        <n v="875"/>
        <n v="131"/>
        <n v="1887"/>
        <n v="481"/>
        <n v="2701"/>
        <n v="1050"/>
        <n v="928"/>
        <n v="2247"/>
        <n v="136"/>
        <n v="1293"/>
        <n v="1358"/>
        <n v="15"/>
        <n v="5985"/>
        <n v="2054"/>
        <n v="14058"/>
        <n v="17547"/>
        <n v="2063"/>
        <n v="6381"/>
        <n v="2017"/>
        <n v="232"/>
        <n v="3621"/>
        <n v="4319"/>
        <n v="356"/>
        <n v="5965"/>
        <n v="9900"/>
        <n v="688"/>
        <n v="38"/>
        <n v="1588"/>
        <n v="94"/>
        <n v="1847"/>
        <m/>
      </sharedItems>
    </cacheField>
    <cacheField name="April" numFmtId="0">
      <sharedItems containsString="0" containsBlank="1" containsNumber="1" containsInteger="1" minValue="0" maxValue="19158" count="79">
        <n v="0"/>
        <n v="251"/>
        <n v="93"/>
        <n v="1"/>
        <n v="59"/>
        <n v="1796"/>
        <n v="824"/>
        <n v="1731"/>
        <n v="4526"/>
        <n v="1219"/>
        <n v="15447"/>
        <n v="7756"/>
        <n v="5117"/>
        <n v="5899"/>
        <n v="45"/>
        <n v="201"/>
        <n v="9120"/>
        <n v="1571"/>
        <n v="282"/>
        <n v="95"/>
        <n v="5328"/>
        <n v="5"/>
        <n v="6734"/>
        <n v="7901"/>
        <n v="9537"/>
        <n v="20"/>
        <n v="14807"/>
        <n v="6160"/>
        <n v="4003"/>
        <n v="347"/>
        <n v="6134"/>
        <n v="9043"/>
        <n v="14049"/>
        <n v="17113"/>
        <n v="3220"/>
        <n v="867"/>
        <n v="15825"/>
        <n v="12060"/>
        <n v="13544"/>
        <n v="14286"/>
        <n v="7651"/>
        <n v="1915"/>
        <n v="193"/>
        <n v="257"/>
        <n v="2476"/>
        <n v="4094"/>
        <n v="17850"/>
        <n v="3509"/>
        <n v="1019"/>
        <n v="993"/>
        <n v="124"/>
        <n v="1813"/>
        <n v="536"/>
        <n v="2404"/>
        <n v="1059"/>
        <n v="977"/>
        <n v="1671"/>
        <n v="154"/>
        <n v="1159"/>
        <n v="1253"/>
        <n v="13"/>
        <n v="5148"/>
        <n v="1746"/>
        <n v="11168"/>
        <n v="19158"/>
        <n v="1716"/>
        <n v="6796"/>
        <n v="2153"/>
        <n v="179"/>
        <n v="2325"/>
        <n v="4380"/>
        <n v="264"/>
        <n v="3252"/>
        <n v="7103"/>
        <n v="1192"/>
        <n v="1758"/>
        <n v="108"/>
        <n v="1183"/>
        <m/>
      </sharedItems>
    </cacheField>
    <cacheField name="May" numFmtId="0">
      <sharedItems containsString="0" containsBlank="1" containsNumber="1" containsInteger="1" minValue="0" maxValue="19393" count="80">
        <n v="0"/>
        <n v="155"/>
        <n v="125"/>
        <n v="235"/>
        <n v="2215"/>
        <n v="1054"/>
        <n v="1553"/>
        <n v="4433"/>
        <n v="944"/>
        <n v="14662"/>
        <n v="7697"/>
        <n v="5328"/>
        <n v="5169"/>
        <n v="42"/>
        <n v="168"/>
        <n v="9327"/>
        <n v="1381"/>
        <n v="269"/>
        <n v="75"/>
        <n v="5316"/>
        <n v="15"/>
        <n v="6736"/>
        <n v="7433"/>
        <n v="8026"/>
        <n v="16"/>
        <n v="13717"/>
        <n v="5750"/>
        <n v="10000"/>
        <n v="701"/>
        <n v="5008"/>
        <n v="7675"/>
        <n v="12842"/>
        <n v="14186"/>
        <n v="3314"/>
        <n v="730"/>
        <n v="16061"/>
        <n v="10960"/>
        <n v="13893"/>
        <n v="12681"/>
        <n v="9736"/>
        <n v="2104"/>
        <n v="193"/>
        <n v="274"/>
        <n v="2227"/>
        <n v="19393"/>
        <n v="14492"/>
        <n v="3241"/>
        <n v="991"/>
        <n v="1200"/>
        <n v="135"/>
        <n v="1906"/>
        <n v="537"/>
        <n v="2211"/>
        <n v="850"/>
        <n v="743"/>
        <n v="2116"/>
        <n v="185"/>
        <n v="1157"/>
        <n v="1538"/>
        <n v="4"/>
        <n v="4983"/>
        <n v="1625"/>
        <n v="11457"/>
        <n v="18949"/>
        <n v="1661"/>
        <n v="5927"/>
        <n v="2098"/>
        <n v="122"/>
        <n v="2422"/>
        <n v="4517"/>
        <n v="283"/>
        <n v="3906"/>
        <n v="8548"/>
        <n v="1919"/>
        <n v="2180"/>
        <n v="62"/>
        <n v="1561"/>
        <n v="102"/>
        <n v="1610"/>
        <m/>
      </sharedItems>
    </cacheField>
    <cacheField name="June" numFmtId="0">
      <sharedItems containsString="0" containsBlank="1" containsNumber="1" containsInteger="1" minValue="0" maxValue="18238"/>
    </cacheField>
    <cacheField name="July" numFmtId="0">
      <sharedItems containsString="0" containsBlank="1" containsNumber="1" containsInteger="1" minValue="0" maxValue="17350"/>
    </cacheField>
    <cacheField name="August" numFmtId="0">
      <sharedItems containsString="0" containsBlank="1" containsNumber="1" containsInteger="1" minValue="0" maxValue="19190"/>
    </cacheField>
    <cacheField name="September" numFmtId="0">
      <sharedItems containsString="0" containsBlank="1" containsNumber="1" containsInteger="1" minValue="0" maxValue="17441"/>
    </cacheField>
    <cacheField name="October " numFmtId="0">
      <sharedItems containsString="0" containsBlank="1" containsNumber="1" containsInteger="1" minValue="0" maxValue="18785"/>
    </cacheField>
    <cacheField name="November " numFmtId="0">
      <sharedItems containsString="0" containsBlank="1" containsNumber="1" containsInteger="1" minValue="0" maxValue="16293"/>
    </cacheField>
    <cacheField name="December" numFmtId="0">
      <sharedItems containsString="0" containsBlank="1" containsNumber="1" containsInteger="1" minValue="0" maxValue="17336"/>
    </cacheField>
    <cacheField name="Total" numFmtId="0">
      <sharedItems containsString="0" containsBlank="1" containsNumber="1" containsInteger="1" minValue="0" maxValue="202031" count="87">
        <n v="1267"/>
        <n v="2890"/>
        <n v="1470"/>
        <n v="9"/>
        <n v="1812"/>
        <n v="30690"/>
        <n v="11526"/>
        <n v="27656"/>
        <n v="55138"/>
        <n v="17664"/>
        <n v="186919"/>
        <n v="84368"/>
        <n v="64020"/>
        <n v="60762"/>
        <n v="528"/>
        <n v="259"/>
        <n v="1543"/>
        <n v="117819"/>
        <n v="17113"/>
        <n v="2988"/>
        <n v="1218"/>
        <n v="0"/>
        <n v="63674"/>
        <n v="599"/>
        <n v="292"/>
        <n v="73745"/>
        <n v="106690"/>
        <n v="99771"/>
        <n v="273"/>
        <n v="166364"/>
        <n v="77013"/>
        <n v="85828"/>
        <n v="8484"/>
        <n v="90727"/>
        <n v="105922"/>
        <n v="172094"/>
        <n v="188160"/>
        <n v="36047"/>
        <n v="7295"/>
        <n v="167988"/>
        <n v="138705"/>
        <n v="190091"/>
        <n v="156236"/>
        <n v="122747"/>
        <n v="24750"/>
        <n v="4016"/>
        <n v="8734"/>
        <n v="26180"/>
        <n v="172808"/>
        <n v="190855"/>
        <n v="40686"/>
        <n v="10865"/>
        <n v="11812"/>
        <n v="1870"/>
        <n v="19639"/>
        <n v="10045"/>
        <n v="6983"/>
        <n v="28987"/>
        <n v="22"/>
        <n v="11000"/>
        <n v="8705"/>
        <n v="22024"/>
        <n v="1907"/>
        <n v="17567"/>
        <n v="15617"/>
        <n v="66"/>
        <n v="45380"/>
        <n v="23664"/>
        <n v="22071"/>
        <n v="161611"/>
        <n v="202031"/>
        <n v="23113"/>
        <n v="67337"/>
        <n v="15895"/>
        <n v="1999"/>
        <n v="33597"/>
        <n v="49927"/>
        <n v="2902"/>
        <n v="62956"/>
        <n v="106900"/>
        <n v="18099"/>
        <n v="22836"/>
        <n v="943"/>
        <n v="19650"/>
        <n v="1193"/>
        <n v="21210"/>
        <m/>
      </sharedItems>
    </cacheField>
    <cacheField name="Segment" numFmtId="0">
      <sharedItems containsBlank="1" count="12">
        <s v="C2"/>
        <s v="C1"/>
        <s v="D2"/>
        <s v="B2"/>
        <s v="Premium"/>
        <s v="D1"/>
        <s v="Utility"/>
        <s v="A"/>
        <s v="B1"/>
        <s v="Premuim"/>
        <s v="_x000a_Utility"/>
        <m/>
      </sharedItems>
    </cacheField>
    <cacheField name="Body_Type" numFmtId="0">
      <sharedItems containsBlank="1" count="6">
        <s v="SUV"/>
        <s v="Hatchback"/>
        <s v="Sedan"/>
        <s v="MUV"/>
        <s v="Others"/>
        <m/>
      </sharedItems>
    </cacheField>
    <cacheField name="MoM_Percent" numFmtId="0">
      <sharedItems containsString="0" containsBlank="1" containsNumber="1" containsInteger="1" minValue="-100" maxValue="147" count="66">
        <n v="68"/>
        <n v="50"/>
        <n v="-52"/>
        <n v="0"/>
        <n v="48"/>
        <n v="41"/>
        <n v="10"/>
        <n v="40"/>
        <n v="-9"/>
        <n v="-37"/>
        <n v="-18"/>
        <n v="-8"/>
        <n v="-21"/>
        <n v="-12"/>
        <n v="9"/>
        <n v="-61"/>
        <n v="5"/>
        <n v="-28"/>
        <n v="-7"/>
        <n v="-36"/>
        <n v="-54"/>
        <n v="-57"/>
        <n v="-10"/>
        <n v="-47"/>
        <n v="-64"/>
        <n v="-16"/>
        <n v="78"/>
        <n v="-4"/>
        <n v="30"/>
        <n v="-19"/>
        <n v="-1"/>
        <n v="-44"/>
        <n v="16"/>
        <n v="-69"/>
        <n v="-22"/>
        <n v="6"/>
        <n v="-30"/>
        <n v="-66"/>
        <n v="90"/>
        <n v="11"/>
        <n v="-100"/>
        <n v="-29"/>
        <n v="24"/>
        <n v="28"/>
        <n v="17"/>
        <n v="20"/>
        <n v="-24"/>
        <n v="15"/>
        <n v="12"/>
        <n v="-14"/>
        <n v="62"/>
        <n v="67"/>
        <n v="-83"/>
        <n v="-2"/>
        <n v="-5"/>
        <n v="-11"/>
        <n v="-6"/>
        <n v="23"/>
        <n v="-32"/>
        <n v="-23"/>
        <n v="14"/>
        <n v="-27"/>
        <n v="56"/>
        <n v="147"/>
        <n v="55"/>
        <m/>
      </sharedItems>
    </cacheField>
    <cacheField name="YoY_Percent" numFmtId="0">
      <sharedItems containsString="0" containsBlank="1" containsNumber="1" containsInteger="1" minValue="-87" maxValue="33270"/>
    </cacheField>
    <cacheField name="Total_Check" numFmtId="0">
      <sharedItems containsString="0" containsBlank="1" containsNumber="1" containsInteger="1" minValue="0" maxValue="202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 Bhusange" refreshedDate="46050.51497650463" createdVersion="8" refreshedVersion="8" minRefreshableVersion="3" recordCount="1044" xr:uid="{FC36703F-AC68-4F0A-8823-503071480B11}">
  <cacheSource type="worksheet">
    <worksheetSource ref="A1:I1048576" sheet="Sheet1" r:id="rId2"/>
  </cacheSource>
  <cacheFields count="9">
    <cacheField name="Make" numFmtId="0">
      <sharedItems containsBlank="1" count="15">
        <s v="Citroen"/>
        <s v="Honda"/>
        <s v="Hyundai"/>
        <s v="Jeep"/>
        <s v="Kia"/>
        <s v="Mahindra"/>
        <s v="Maruti"/>
        <s v="MG"/>
        <s v="Nissan"/>
        <s v="Renault"/>
        <s v="Skoda"/>
        <s v="Tata"/>
        <s v="Toyota"/>
        <s v="Volkswagen"/>
        <m/>
      </sharedItems>
    </cacheField>
    <cacheField name="Model" numFmtId="0">
      <sharedItems containsBlank="1"/>
    </cacheField>
    <cacheField name="Months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 "/>
        <s v="November "/>
        <s v="December"/>
        <m/>
      </sharedItems>
    </cacheField>
    <cacheField name="Sales" numFmtId="0">
      <sharedItems containsString="0" containsBlank="1" containsNumber="1" containsInteger="1" minValue="0" maxValue="19630"/>
    </cacheField>
    <cacheField name="Total" numFmtId="0">
      <sharedItems containsString="0" containsBlank="1" containsNumber="1" containsInteger="1" minValue="0" maxValue="202031"/>
    </cacheField>
    <cacheField name="Segment" numFmtId="0">
      <sharedItems containsBlank="1"/>
    </cacheField>
    <cacheField name="Body Type" numFmtId="0">
      <sharedItems containsBlank="1"/>
    </cacheField>
    <cacheField name="MoM %" numFmtId="0">
      <sharedItems containsString="0" containsBlank="1" containsNumber="1" containsInteger="1" minValue="-100" maxValue="147" count="66">
        <n v="68"/>
        <n v="50"/>
        <n v="-52"/>
        <n v="0"/>
        <n v="48"/>
        <n v="41"/>
        <n v="10"/>
        <n v="40"/>
        <n v="-9"/>
        <n v="-37"/>
        <n v="-18"/>
        <n v="-8"/>
        <n v="-21"/>
        <n v="-12"/>
        <n v="9"/>
        <n v="-61"/>
        <n v="5"/>
        <n v="-28"/>
        <n v="-7"/>
        <n v="-36"/>
        <n v="-54"/>
        <n v="-57"/>
        <n v="-10"/>
        <n v="-47"/>
        <n v="-64"/>
        <n v="-16"/>
        <n v="78"/>
        <n v="-4"/>
        <n v="30"/>
        <n v="-19"/>
        <n v="-1"/>
        <n v="-44"/>
        <n v="16"/>
        <n v="-69"/>
        <n v="-22"/>
        <n v="6"/>
        <n v="-30"/>
        <n v="-66"/>
        <n v="90"/>
        <n v="11"/>
        <n v="-100"/>
        <n v="-29"/>
        <n v="24"/>
        <n v="28"/>
        <n v="17"/>
        <n v="20"/>
        <n v="-24"/>
        <n v="15"/>
        <n v="12"/>
        <n v="-14"/>
        <n v="62"/>
        <n v="67"/>
        <n v="-83"/>
        <n v="-2"/>
        <n v="-5"/>
        <n v="-11"/>
        <n v="-6"/>
        <n v="23"/>
        <n v="-32"/>
        <n v="-23"/>
        <n v="14"/>
        <n v="-27"/>
        <n v="56"/>
        <n v="147"/>
        <n v="55"/>
        <m/>
      </sharedItems>
    </cacheField>
    <cacheField name="YoY %" numFmtId="0">
      <sharedItems containsString="0" containsBlank="1" containsNumber="1" containsInteger="1" minValue="-87" maxValue="33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x v="0"/>
    <x v="0"/>
    <x v="0"/>
    <x v="0"/>
    <n v="0"/>
    <n v="0"/>
    <n v="579"/>
    <n v="341"/>
    <n v="221"/>
    <n v="47"/>
    <n v="79"/>
    <x v="0"/>
    <x v="0"/>
    <x v="0"/>
    <x v="0"/>
    <n v="0"/>
    <n v="1267"/>
  </r>
  <r>
    <x v="0"/>
    <x v="1"/>
    <x v="1"/>
    <x v="1"/>
    <x v="1"/>
    <x v="1"/>
    <x v="1"/>
    <n v="77"/>
    <n v="90"/>
    <n v="507"/>
    <n v="300"/>
    <n v="300"/>
    <n v="200"/>
    <n v="300"/>
    <x v="1"/>
    <x v="1"/>
    <x v="1"/>
    <x v="1"/>
    <n v="-3"/>
    <n v="2890"/>
  </r>
  <r>
    <x v="0"/>
    <x v="2"/>
    <x v="2"/>
    <x v="2"/>
    <x v="2"/>
    <x v="2"/>
    <x v="2"/>
    <n v="136"/>
    <n v="68"/>
    <n v="38"/>
    <n v="41"/>
    <n v="103"/>
    <n v="201"/>
    <n v="96"/>
    <x v="2"/>
    <x v="0"/>
    <x v="0"/>
    <x v="2"/>
    <n v="-72"/>
    <n v="1470"/>
  </r>
  <r>
    <x v="0"/>
    <x v="3"/>
    <x v="3"/>
    <x v="0"/>
    <x v="0"/>
    <x v="3"/>
    <x v="0"/>
    <n v="0"/>
    <n v="0"/>
    <n v="1"/>
    <n v="1"/>
    <n v="4"/>
    <n v="0"/>
    <n v="1"/>
    <x v="3"/>
    <x v="2"/>
    <x v="0"/>
    <x v="3"/>
    <n v="-50"/>
    <n v="9"/>
  </r>
  <r>
    <x v="0"/>
    <x v="4"/>
    <x v="4"/>
    <x v="3"/>
    <x v="3"/>
    <x v="4"/>
    <x v="3"/>
    <n v="126"/>
    <n v="177"/>
    <n v="150"/>
    <n v="28"/>
    <n v="89"/>
    <n v="61"/>
    <n v="90"/>
    <x v="4"/>
    <x v="1"/>
    <x v="0"/>
    <x v="4"/>
    <n v="0"/>
    <n v="1812"/>
  </r>
  <r>
    <x v="1"/>
    <x v="5"/>
    <x v="5"/>
    <x v="4"/>
    <x v="4"/>
    <x v="5"/>
    <x v="4"/>
    <n v="1794"/>
    <n v="2327"/>
    <n v="2585"/>
    <n v="2820"/>
    <n v="2393"/>
    <n v="2628"/>
    <n v="3708"/>
    <x v="5"/>
    <x v="1"/>
    <x v="2"/>
    <x v="5"/>
    <n v="54"/>
    <n v="30690"/>
  </r>
  <r>
    <x v="1"/>
    <x v="6"/>
    <x v="6"/>
    <x v="5"/>
    <x v="5"/>
    <x v="6"/>
    <x v="5"/>
    <n v="859"/>
    <n v="957"/>
    <n v="1018"/>
    <n v="895"/>
    <n v="1004"/>
    <n v="709"/>
    <n v="783"/>
    <x v="6"/>
    <x v="0"/>
    <x v="2"/>
    <x v="6"/>
    <n v="-30"/>
    <n v="11526"/>
  </r>
  <r>
    <x v="1"/>
    <x v="7"/>
    <x v="7"/>
    <x v="6"/>
    <x v="6"/>
    <x v="7"/>
    <x v="6"/>
    <n v="2151"/>
    <n v="1340"/>
    <n v="1723"/>
    <n v="1960"/>
    <n v="2149"/>
    <n v="1668"/>
    <n v="2334"/>
    <x v="7"/>
    <x v="0"/>
    <x v="0"/>
    <x v="7"/>
    <n v="-47"/>
    <n v="27656"/>
  </r>
  <r>
    <x v="2"/>
    <x v="8"/>
    <x v="8"/>
    <x v="7"/>
    <x v="7"/>
    <x v="8"/>
    <x v="7"/>
    <n v="4299"/>
    <n v="4757"/>
    <n v="4304"/>
    <n v="4462"/>
    <n v="4805"/>
    <n v="4248"/>
    <n v="3852"/>
    <x v="8"/>
    <x v="1"/>
    <x v="2"/>
    <x v="8"/>
    <n v="1"/>
    <n v="55138"/>
  </r>
  <r>
    <x v="2"/>
    <x v="9"/>
    <x v="9"/>
    <x v="8"/>
    <x v="8"/>
    <x v="9"/>
    <x v="8"/>
    <n v="882"/>
    <n v="585"/>
    <n v="1105"/>
    <n v="2712"/>
    <n v="2204"/>
    <n v="2134"/>
    <n v="1342"/>
    <x v="9"/>
    <x v="0"/>
    <x v="3"/>
    <x v="9"/>
    <n v="41"/>
    <n v="17664"/>
  </r>
  <r>
    <x v="2"/>
    <x v="10"/>
    <x v="10"/>
    <x v="9"/>
    <x v="9"/>
    <x v="10"/>
    <x v="9"/>
    <n v="16293"/>
    <n v="17350"/>
    <n v="16762"/>
    <n v="15902"/>
    <n v="17497"/>
    <n v="15452"/>
    <n v="12608"/>
    <x v="10"/>
    <x v="0"/>
    <x v="0"/>
    <x v="10"/>
    <n v="36"/>
    <n v="186919"/>
  </r>
  <r>
    <x v="2"/>
    <x v="11"/>
    <x v="11"/>
    <x v="10"/>
    <x v="10"/>
    <x v="11"/>
    <x v="10"/>
    <n v="6908"/>
    <n v="6037"/>
    <n v="6632"/>
    <n v="6908"/>
    <n v="7127"/>
    <n v="5747"/>
    <n v="5270"/>
    <x v="11"/>
    <x v="1"/>
    <x v="0"/>
    <x v="11"/>
    <n v="-30"/>
    <n v="84368"/>
  </r>
  <r>
    <x v="2"/>
    <x v="12"/>
    <x v="12"/>
    <x v="11"/>
    <x v="11"/>
    <x v="12"/>
    <x v="11"/>
    <n v="4948"/>
    <n v="4922"/>
    <n v="5365"/>
    <n v="5103"/>
    <n v="6235"/>
    <n v="5667"/>
    <n v="4489"/>
    <x v="12"/>
    <x v="3"/>
    <x v="1"/>
    <x v="12"/>
    <n v="-14"/>
    <n v="64020"/>
  </r>
  <r>
    <x v="2"/>
    <x v="13"/>
    <x v="13"/>
    <x v="12"/>
    <x v="12"/>
    <x v="13"/>
    <x v="12"/>
    <n v="5315"/>
    <n v="4937"/>
    <n v="4913"/>
    <n v="4428"/>
    <n v="5354"/>
    <n v="3925"/>
    <n v="3453"/>
    <x v="13"/>
    <x v="3"/>
    <x v="1"/>
    <x v="13"/>
    <n v="-25"/>
    <n v="60762"/>
  </r>
  <r>
    <x v="2"/>
    <x v="14"/>
    <x v="14"/>
    <x v="13"/>
    <x v="13"/>
    <x v="14"/>
    <x v="13"/>
    <n v="30"/>
    <n v="36"/>
    <n v="40"/>
    <n v="31"/>
    <n v="32"/>
    <n v="22"/>
    <n v="24"/>
    <x v="14"/>
    <x v="4"/>
    <x v="0"/>
    <x v="14"/>
    <n v="-70"/>
    <n v="528"/>
  </r>
  <r>
    <x v="2"/>
    <x v="15"/>
    <x v="15"/>
    <x v="14"/>
    <x v="14"/>
    <x v="0"/>
    <x v="0"/>
    <n v="0"/>
    <n v="0"/>
    <n v="0"/>
    <n v="0"/>
    <n v="0"/>
    <n v="0"/>
    <n v="0"/>
    <x v="15"/>
    <x v="4"/>
    <x v="0"/>
    <x v="3"/>
    <n v="0"/>
    <n v="259"/>
  </r>
  <r>
    <x v="2"/>
    <x v="16"/>
    <x v="16"/>
    <x v="15"/>
    <x v="15"/>
    <x v="15"/>
    <x v="14"/>
    <n v="114"/>
    <n v="129"/>
    <n v="125"/>
    <n v="98"/>
    <n v="141"/>
    <n v="84"/>
    <n v="33"/>
    <x v="16"/>
    <x v="2"/>
    <x v="0"/>
    <x v="15"/>
    <n v="-84"/>
    <n v="1543"/>
  </r>
  <r>
    <x v="2"/>
    <x v="17"/>
    <x v="17"/>
    <x v="16"/>
    <x v="16"/>
    <x v="16"/>
    <x v="15"/>
    <n v="9890"/>
    <n v="8840"/>
    <n v="9085"/>
    <n v="10259"/>
    <n v="10901"/>
    <n v="9754"/>
    <n v="10265"/>
    <x v="17"/>
    <x v="1"/>
    <x v="0"/>
    <x v="16"/>
    <n v="-1"/>
    <n v="117819"/>
  </r>
  <r>
    <x v="2"/>
    <x v="18"/>
    <x v="18"/>
    <x v="17"/>
    <x v="17"/>
    <x v="17"/>
    <x v="16"/>
    <n v="1424"/>
    <n v="1420"/>
    <n v="1194"/>
    <n v="1198"/>
    <n v="1272"/>
    <n v="1213"/>
    <n v="872"/>
    <x v="18"/>
    <x v="0"/>
    <x v="2"/>
    <x v="17"/>
    <n v="22"/>
    <n v="17113"/>
  </r>
  <r>
    <x v="3"/>
    <x v="19"/>
    <x v="19"/>
    <x v="18"/>
    <x v="18"/>
    <x v="18"/>
    <x v="17"/>
    <n v="216"/>
    <n v="213"/>
    <n v="280"/>
    <n v="310"/>
    <n v="236"/>
    <n v="188"/>
    <n v="175"/>
    <x v="19"/>
    <x v="5"/>
    <x v="0"/>
    <x v="18"/>
    <n v="-29"/>
    <n v="2988"/>
  </r>
  <r>
    <x v="3"/>
    <x v="20"/>
    <x v="20"/>
    <x v="2"/>
    <x v="19"/>
    <x v="19"/>
    <x v="18"/>
    <n v="65"/>
    <n v="63"/>
    <n v="60"/>
    <n v="55"/>
    <n v="188"/>
    <n v="173"/>
    <n v="111"/>
    <x v="20"/>
    <x v="2"/>
    <x v="0"/>
    <x v="19"/>
    <n v="-42"/>
    <n v="1218"/>
  </r>
  <r>
    <x v="3"/>
    <x v="21"/>
    <x v="0"/>
    <x v="0"/>
    <x v="0"/>
    <x v="0"/>
    <x v="0"/>
    <n v="0"/>
    <n v="0"/>
    <n v="0"/>
    <n v="0"/>
    <n v="0"/>
    <n v="0"/>
    <n v="0"/>
    <x v="21"/>
    <x v="4"/>
    <x v="0"/>
    <x v="3"/>
    <n v="0"/>
    <n v="0"/>
  </r>
  <r>
    <x v="4"/>
    <x v="22"/>
    <x v="21"/>
    <x v="19"/>
    <x v="20"/>
    <x v="20"/>
    <x v="19"/>
    <n v="5154"/>
    <n v="5679"/>
    <n v="5881"/>
    <n v="6217"/>
    <n v="6384"/>
    <n v="5672"/>
    <n v="2626"/>
    <x v="22"/>
    <x v="6"/>
    <x v="3"/>
    <x v="20"/>
    <n v="2"/>
    <n v="63674"/>
  </r>
  <r>
    <x v="4"/>
    <x v="23"/>
    <x v="0"/>
    <x v="0"/>
    <x v="0"/>
    <x v="0"/>
    <x v="0"/>
    <n v="0"/>
    <n v="0"/>
    <n v="0"/>
    <n v="0"/>
    <n v="255"/>
    <n v="241"/>
    <n v="103"/>
    <x v="23"/>
    <x v="2"/>
    <x v="3"/>
    <x v="21"/>
    <n v="0"/>
    <n v="599"/>
  </r>
  <r>
    <x v="4"/>
    <x v="24"/>
    <x v="0"/>
    <x v="20"/>
    <x v="21"/>
    <x v="21"/>
    <x v="20"/>
    <n v="24"/>
    <n v="22"/>
    <n v="33"/>
    <n v="12"/>
    <n v="50"/>
    <n v="68"/>
    <n v="61"/>
    <x v="24"/>
    <x v="4"/>
    <x v="0"/>
    <x v="22"/>
    <n v="917"/>
    <n v="292"/>
  </r>
  <r>
    <x v="4"/>
    <x v="25"/>
    <x v="22"/>
    <x v="21"/>
    <x v="22"/>
    <x v="22"/>
    <x v="21"/>
    <n v="6306"/>
    <n v="5347"/>
    <n v="6536"/>
    <n v="6959"/>
    <n v="6365"/>
    <n v="5364"/>
    <n v="2830"/>
    <x v="25"/>
    <x v="0"/>
    <x v="0"/>
    <x v="23"/>
    <n v="-72"/>
    <n v="73745"/>
  </r>
  <r>
    <x v="4"/>
    <x v="26"/>
    <x v="23"/>
    <x v="22"/>
    <x v="23"/>
    <x v="23"/>
    <x v="22"/>
    <n v="9816"/>
    <n v="9459"/>
    <n v="10073"/>
    <n v="10335"/>
    <n v="9699"/>
    <n v="9255"/>
    <n v="3337"/>
    <x v="26"/>
    <x v="1"/>
    <x v="0"/>
    <x v="24"/>
    <n v="33270"/>
    <n v="106690"/>
  </r>
  <r>
    <x v="5"/>
    <x v="27"/>
    <x v="24"/>
    <x v="23"/>
    <x v="24"/>
    <x v="24"/>
    <x v="23"/>
    <n v="7365"/>
    <n v="6930"/>
    <n v="6494"/>
    <n v="8180"/>
    <n v="9849"/>
    <n v="7045"/>
    <n v="5921"/>
    <x v="27"/>
    <x v="6"/>
    <x v="3"/>
    <x v="25"/>
    <n v="-26"/>
    <n v="99771"/>
  </r>
  <r>
    <x v="5"/>
    <x v="28"/>
    <x v="25"/>
    <x v="24"/>
    <x v="25"/>
    <x v="25"/>
    <x v="24"/>
    <n v="12"/>
    <n v="14"/>
    <n v="8"/>
    <n v="7"/>
    <n v="37"/>
    <n v="9"/>
    <n v="16"/>
    <x v="28"/>
    <x v="6"/>
    <x v="3"/>
    <x v="26"/>
    <n v="-74"/>
    <n v="273"/>
  </r>
  <r>
    <x v="5"/>
    <x v="29"/>
    <x v="26"/>
    <x v="25"/>
    <x v="26"/>
    <x v="26"/>
    <x v="25"/>
    <n v="12307"/>
    <n v="12237"/>
    <n v="13787"/>
    <n v="14438"/>
    <n v="15677"/>
    <n v="12704"/>
    <n v="12195"/>
    <x v="29"/>
    <x v="0"/>
    <x v="0"/>
    <x v="27"/>
    <n v="7"/>
    <n v="166364"/>
  </r>
  <r>
    <x v="5"/>
    <x v="30"/>
    <x v="27"/>
    <x v="26"/>
    <x v="27"/>
    <x v="27"/>
    <x v="26"/>
    <n v="5376"/>
    <n v="4385"/>
    <n v="4268"/>
    <n v="8843"/>
    <n v="7944"/>
    <n v="8708"/>
    <n v="7659"/>
    <x v="30"/>
    <x v="6"/>
    <x v="0"/>
    <x v="13"/>
    <n v="32"/>
    <n v="77013"/>
  </r>
  <r>
    <x v="5"/>
    <x v="31"/>
    <x v="28"/>
    <x v="27"/>
    <x v="28"/>
    <x v="28"/>
    <x v="27"/>
    <n v="8500"/>
    <n v="10000"/>
    <n v="9000"/>
    <n v="9000"/>
    <n v="9562"/>
    <n v="7656"/>
    <n v="7000"/>
    <x v="31"/>
    <x v="1"/>
    <x v="0"/>
    <x v="8"/>
    <n v="97"/>
    <n v="85828"/>
  </r>
  <r>
    <x v="5"/>
    <x v="32"/>
    <x v="29"/>
    <x v="28"/>
    <x v="29"/>
    <x v="29"/>
    <x v="28"/>
    <n v="534"/>
    <n v="288"/>
    <n v="713"/>
    <n v="948"/>
    <n v="1000"/>
    <n v="1000"/>
    <n v="1296"/>
    <x v="32"/>
    <x v="0"/>
    <x v="0"/>
    <x v="28"/>
    <n v="142"/>
    <n v="8484"/>
  </r>
  <r>
    <x v="5"/>
    <x v="33"/>
    <x v="30"/>
    <x v="29"/>
    <x v="30"/>
    <x v="30"/>
    <x v="29"/>
    <n v="5928"/>
    <n v="7769"/>
    <n v="9007"/>
    <n v="9646"/>
    <n v="10435"/>
    <n v="9100"/>
    <n v="7337"/>
    <x v="33"/>
    <x v="5"/>
    <x v="0"/>
    <x v="29"/>
    <n v="25"/>
    <n v="90727"/>
  </r>
  <r>
    <x v="6"/>
    <x v="34"/>
    <x v="31"/>
    <x v="30"/>
    <x v="31"/>
    <x v="31"/>
    <x v="30"/>
    <n v="7775"/>
    <n v="7353"/>
    <n v="8546"/>
    <n v="8655"/>
    <n v="8548"/>
    <n v="7467"/>
    <n v="7410"/>
    <x v="34"/>
    <x v="7"/>
    <x v="1"/>
    <x v="30"/>
    <n v="197"/>
    <n v="105922"/>
  </r>
  <r>
    <x v="6"/>
    <x v="35"/>
    <x v="32"/>
    <x v="31"/>
    <x v="32"/>
    <x v="32"/>
    <x v="31"/>
    <n v="14895"/>
    <n v="9309"/>
    <n v="12485"/>
    <n v="14292"/>
    <n v="16082"/>
    <n v="16293"/>
    <n v="9112"/>
    <x v="35"/>
    <x v="3"/>
    <x v="1"/>
    <x v="31"/>
    <n v="-15"/>
    <n v="172094"/>
  </r>
  <r>
    <x v="6"/>
    <x v="36"/>
    <x v="33"/>
    <x v="32"/>
    <x v="33"/>
    <x v="33"/>
    <x v="32"/>
    <n v="13172"/>
    <n v="14676"/>
    <n v="19190"/>
    <n v="15322"/>
    <n v="16565"/>
    <n v="14918"/>
    <n v="17336"/>
    <x v="36"/>
    <x v="1"/>
    <x v="0"/>
    <x v="32"/>
    <n v="35"/>
    <n v="188160"/>
  </r>
  <r>
    <x v="6"/>
    <x v="37"/>
    <x v="34"/>
    <x v="33"/>
    <x v="34"/>
    <x v="34"/>
    <x v="33"/>
    <n v="2985"/>
    <n v="2465"/>
    <n v="3181"/>
    <n v="3241"/>
    <n v="3044"/>
    <n v="2379"/>
    <n v="748"/>
    <x v="37"/>
    <x v="8"/>
    <x v="1"/>
    <x v="33"/>
    <n v="203"/>
    <n v="36047"/>
  </r>
  <r>
    <x v="6"/>
    <x v="38"/>
    <x v="35"/>
    <x v="34"/>
    <x v="35"/>
    <x v="35"/>
    <x v="34"/>
    <n v="572"/>
    <n v="603"/>
    <n v="707"/>
    <n v="662"/>
    <n v="659"/>
    <n v="597"/>
    <n v="464"/>
    <x v="38"/>
    <x v="0"/>
    <x v="2"/>
    <x v="34"/>
    <n v="-5"/>
    <n v="7295"/>
  </r>
  <r>
    <x v="6"/>
    <x v="39"/>
    <x v="36"/>
    <x v="35"/>
    <x v="36"/>
    <x v="36"/>
    <x v="35"/>
    <n v="13421"/>
    <n v="11647"/>
    <n v="10627"/>
    <n v="10853"/>
    <n v="12698"/>
    <n v="11779"/>
    <n v="16573"/>
    <x v="39"/>
    <x v="1"/>
    <x v="2"/>
    <x v="5"/>
    <n v="18"/>
    <n v="167988"/>
  </r>
  <r>
    <x v="6"/>
    <x v="40"/>
    <x v="37"/>
    <x v="36"/>
    <x v="37"/>
    <x v="37"/>
    <x v="36"/>
    <n v="10771"/>
    <n v="11916"/>
    <n v="10985"/>
    <n v="11908"/>
    <n v="11653"/>
    <n v="10589"/>
    <n v="11678"/>
    <x v="40"/>
    <x v="6"/>
    <x v="3"/>
    <x v="6"/>
    <n v="16"/>
    <n v="138705"/>
  </r>
  <r>
    <x v="6"/>
    <x v="41"/>
    <x v="38"/>
    <x v="37"/>
    <x v="38"/>
    <x v="38"/>
    <x v="37"/>
    <n v="15902"/>
    <n v="15701"/>
    <n v="18580"/>
    <n v="17441"/>
    <n v="18785"/>
    <n v="15150"/>
    <n v="16056"/>
    <x v="41"/>
    <x v="6"/>
    <x v="3"/>
    <x v="35"/>
    <n v="24"/>
    <n v="190091"/>
  </r>
  <r>
    <x v="6"/>
    <x v="42"/>
    <x v="39"/>
    <x v="38"/>
    <x v="39"/>
    <x v="39"/>
    <x v="38"/>
    <n v="9688"/>
    <n v="10925"/>
    <n v="12387"/>
    <n v="13874"/>
    <n v="16419"/>
    <n v="14882"/>
    <n v="10752"/>
    <x v="42"/>
    <x v="1"/>
    <x v="0"/>
    <x v="17"/>
    <n v="11"/>
    <n v="156236"/>
  </r>
  <r>
    <x v="6"/>
    <x v="43"/>
    <x v="40"/>
    <x v="39"/>
    <x v="40"/>
    <x v="40"/>
    <x v="39"/>
    <n v="9679"/>
    <n v="9397"/>
    <n v="9021"/>
    <n v="10267"/>
    <n v="14083"/>
    <n v="10148"/>
    <n v="7093"/>
    <x v="43"/>
    <x v="0"/>
    <x v="0"/>
    <x v="36"/>
    <n v="2"/>
    <n v="122747"/>
  </r>
  <r>
    <x v="6"/>
    <x v="44"/>
    <x v="41"/>
    <x v="40"/>
    <x v="41"/>
    <x v="41"/>
    <x v="40"/>
    <n v="2536"/>
    <n v="2216"/>
    <n v="2464"/>
    <n v="2514"/>
    <n v="2663"/>
    <n v="2203"/>
    <n v="749"/>
    <x v="44"/>
    <x v="3"/>
    <x v="1"/>
    <x v="37"/>
    <n v="91"/>
    <n v="24750"/>
  </r>
  <r>
    <x v="6"/>
    <x v="45"/>
    <x v="42"/>
    <x v="41"/>
    <x v="42"/>
    <x v="42"/>
    <x v="41"/>
    <n v="128"/>
    <n v="251"/>
    <n v="174"/>
    <n v="312"/>
    <n v="296"/>
    <n v="434"/>
    <n v="825"/>
    <x v="45"/>
    <x v="5"/>
    <x v="3"/>
    <x v="38"/>
    <n v="64"/>
    <n v="4016"/>
  </r>
  <r>
    <x v="6"/>
    <x v="46"/>
    <x v="43"/>
    <x v="42"/>
    <x v="43"/>
    <x v="43"/>
    <x v="42"/>
    <n v="481"/>
    <n v="2429"/>
    <n v="592"/>
    <n v="599"/>
    <n v="1211"/>
    <n v="988"/>
    <n v="1100"/>
    <x v="46"/>
    <x v="6"/>
    <x v="0"/>
    <x v="39"/>
    <n v="51"/>
    <n v="8734"/>
  </r>
  <r>
    <x v="6"/>
    <x v="47"/>
    <x v="44"/>
    <x v="43"/>
    <x v="44"/>
    <x v="44"/>
    <x v="43"/>
    <n v="1620"/>
    <n v="2607"/>
    <n v="2102"/>
    <n v="1708"/>
    <n v="2139"/>
    <n v="2283"/>
    <n v="8"/>
    <x v="47"/>
    <x v="7"/>
    <x v="1"/>
    <x v="40"/>
    <n v="-87"/>
    <n v="26180"/>
  </r>
  <r>
    <x v="6"/>
    <x v="48"/>
    <x v="45"/>
    <x v="44"/>
    <x v="45"/>
    <x v="45"/>
    <x v="44"/>
    <n v="16422"/>
    <n v="16854"/>
    <n v="12844"/>
    <n v="16241"/>
    <n v="17539"/>
    <n v="14737"/>
    <n v="10421"/>
    <x v="48"/>
    <x v="3"/>
    <x v="1"/>
    <x v="41"/>
    <n v="-12"/>
    <n v="172808"/>
  </r>
  <r>
    <x v="6"/>
    <x v="49"/>
    <x v="46"/>
    <x v="45"/>
    <x v="46"/>
    <x v="46"/>
    <x v="45"/>
    <n v="13790"/>
    <n v="16191"/>
    <n v="16450"/>
    <n v="13339"/>
    <n v="13922"/>
    <n v="13982"/>
    <n v="17303"/>
    <x v="49"/>
    <x v="8"/>
    <x v="1"/>
    <x v="42"/>
    <n v="102"/>
    <n v="190855"/>
  </r>
  <r>
    <x v="6"/>
    <x v="50"/>
    <x v="47"/>
    <x v="46"/>
    <x v="47"/>
    <x v="47"/>
    <x v="46"/>
    <n v="3323"/>
    <n v="2923"/>
    <n v="2740"/>
    <n v="3734"/>
    <n v="3285"/>
    <n v="2483"/>
    <n v="2487"/>
    <x v="50"/>
    <x v="6"/>
    <x v="3"/>
    <x v="3"/>
    <n v="12"/>
    <n v="40686"/>
  </r>
  <r>
    <x v="7"/>
    <x v="51"/>
    <x v="48"/>
    <x v="47"/>
    <x v="48"/>
    <x v="48"/>
    <x v="47"/>
    <n v="938"/>
    <n v="929"/>
    <n v="937"/>
    <n v="760"/>
    <n v="767"/>
    <n v="548"/>
    <n v="700"/>
    <x v="51"/>
    <x v="0"/>
    <x v="0"/>
    <x v="43"/>
    <n v="-15"/>
    <n v="10865"/>
  </r>
  <r>
    <x v="7"/>
    <x v="52"/>
    <x v="49"/>
    <x v="48"/>
    <x v="49"/>
    <x v="49"/>
    <x v="48"/>
    <n v="1300"/>
    <n v="1200"/>
    <n v="1100"/>
    <n v="1268"/>
    <n v="1151"/>
    <n v="600"/>
    <n v="700"/>
    <x v="52"/>
    <x v="8"/>
    <x v="1"/>
    <x v="44"/>
    <n v="-12"/>
    <n v="11812"/>
  </r>
  <r>
    <x v="7"/>
    <x v="53"/>
    <x v="50"/>
    <x v="49"/>
    <x v="50"/>
    <x v="50"/>
    <x v="49"/>
    <n v="132"/>
    <n v="191"/>
    <n v="236"/>
    <n v="200"/>
    <n v="176"/>
    <n v="138"/>
    <n v="100"/>
    <x v="53"/>
    <x v="2"/>
    <x v="0"/>
    <x v="17"/>
    <n v="-29"/>
    <n v="1870"/>
  </r>
  <r>
    <x v="7"/>
    <x v="54"/>
    <x v="51"/>
    <x v="50"/>
    <x v="51"/>
    <x v="51"/>
    <x v="50"/>
    <n v="1713"/>
    <n v="1780"/>
    <n v="1814"/>
    <n v="1380"/>
    <n v="1224"/>
    <n v="1106"/>
    <n v="1373"/>
    <x v="54"/>
    <x v="5"/>
    <x v="0"/>
    <x v="42"/>
    <n v="-37"/>
    <n v="19639"/>
  </r>
  <r>
    <x v="7"/>
    <x v="55"/>
    <x v="0"/>
    <x v="0"/>
    <x v="0"/>
    <x v="0"/>
    <x v="0"/>
    <n v="0"/>
    <n v="0"/>
    <n v="0"/>
    <n v="0"/>
    <n v="3116"/>
    <n v="3144"/>
    <n v="3785"/>
    <x v="55"/>
    <x v="0"/>
    <x v="3"/>
    <x v="45"/>
    <n v="0"/>
    <n v="10045"/>
  </r>
  <r>
    <x v="7"/>
    <x v="56"/>
    <x v="52"/>
    <x v="51"/>
    <x v="52"/>
    <x v="52"/>
    <x v="51"/>
    <n v="561"/>
    <n v="472"/>
    <n v="484"/>
    <n v="980"/>
    <n v="611"/>
    <n v="483"/>
    <n v="858"/>
    <x v="56"/>
    <x v="9"/>
    <x v="0"/>
    <x v="26"/>
    <n v="85"/>
    <n v="6983"/>
  </r>
  <r>
    <x v="8"/>
    <x v="57"/>
    <x v="53"/>
    <x v="52"/>
    <x v="53"/>
    <x v="53"/>
    <x v="52"/>
    <n v="2107"/>
    <n v="2011"/>
    <n v="2257"/>
    <n v="2100"/>
    <n v="3119"/>
    <n v="2342"/>
    <n v="2117"/>
    <x v="57"/>
    <x v="1"/>
    <x v="0"/>
    <x v="22"/>
    <n v="-2"/>
    <n v="28987"/>
  </r>
  <r>
    <x v="8"/>
    <x v="58"/>
    <x v="0"/>
    <x v="0"/>
    <x v="0"/>
    <x v="0"/>
    <x v="0"/>
    <n v="0"/>
    <n v="0"/>
    <n v="6"/>
    <n v="13"/>
    <n v="2"/>
    <n v="0"/>
    <n v="1"/>
    <x v="58"/>
    <x v="2"/>
    <x v="0"/>
    <x v="3"/>
    <n v="0"/>
    <n v="22"/>
  </r>
  <r>
    <x v="9"/>
    <x v="59"/>
    <x v="54"/>
    <x v="53"/>
    <x v="54"/>
    <x v="54"/>
    <x v="53"/>
    <n v="1150"/>
    <n v="810"/>
    <n v="870"/>
    <n v="988"/>
    <n v="1053"/>
    <n v="779"/>
    <n v="594"/>
    <x v="59"/>
    <x v="1"/>
    <x v="0"/>
    <x v="46"/>
    <n v="-31"/>
    <n v="11000"/>
  </r>
  <r>
    <x v="9"/>
    <x v="60"/>
    <x v="55"/>
    <x v="54"/>
    <x v="55"/>
    <x v="55"/>
    <x v="54"/>
    <n v="603"/>
    <n v="565"/>
    <n v="634"/>
    <n v="691"/>
    <n v="706"/>
    <n v="546"/>
    <n v="628"/>
    <x v="60"/>
    <x v="7"/>
    <x v="1"/>
    <x v="47"/>
    <n v="37"/>
    <n v="8705"/>
  </r>
  <r>
    <x v="9"/>
    <x v="61"/>
    <x v="56"/>
    <x v="55"/>
    <x v="56"/>
    <x v="56"/>
    <x v="55"/>
    <n v="1800"/>
    <n v="1457"/>
    <n v="1514"/>
    <n v="1538"/>
    <n v="2111"/>
    <n v="1486"/>
    <n v="1659"/>
    <x v="61"/>
    <x v="6"/>
    <x v="3"/>
    <x v="48"/>
    <n v="149"/>
    <n v="22024"/>
  </r>
  <r>
    <x v="10"/>
    <x v="62"/>
    <x v="57"/>
    <x v="56"/>
    <x v="57"/>
    <x v="57"/>
    <x v="56"/>
    <n v="137"/>
    <n v="240"/>
    <n v="145"/>
    <n v="140"/>
    <n v="209"/>
    <n v="225"/>
    <n v="194"/>
    <x v="62"/>
    <x v="2"/>
    <x v="0"/>
    <x v="49"/>
    <n v="-14"/>
    <n v="1907"/>
  </r>
  <r>
    <x v="10"/>
    <x v="63"/>
    <x v="58"/>
    <x v="57"/>
    <x v="58"/>
    <x v="58"/>
    <x v="57"/>
    <n v="1198"/>
    <n v="1070"/>
    <n v="1502"/>
    <n v="1767"/>
    <n v="2213"/>
    <n v="1524"/>
    <n v="2465"/>
    <x v="63"/>
    <x v="0"/>
    <x v="0"/>
    <x v="50"/>
    <n v="-1"/>
    <n v="17567"/>
  </r>
  <r>
    <x v="10"/>
    <x v="64"/>
    <x v="59"/>
    <x v="58"/>
    <x v="59"/>
    <x v="59"/>
    <x v="58"/>
    <n v="1230"/>
    <n v="793"/>
    <n v="1122"/>
    <n v="1391"/>
    <n v="1637"/>
    <n v="1131"/>
    <n v="1894"/>
    <x v="64"/>
    <x v="0"/>
    <x v="2"/>
    <x v="51"/>
    <n v="-3"/>
    <n v="15617"/>
  </r>
  <r>
    <x v="10"/>
    <x v="65"/>
    <x v="0"/>
    <x v="0"/>
    <x v="60"/>
    <x v="60"/>
    <x v="59"/>
    <n v="1"/>
    <n v="0"/>
    <n v="3"/>
    <n v="3"/>
    <n v="20"/>
    <n v="6"/>
    <n v="1"/>
    <x v="65"/>
    <x v="2"/>
    <x v="2"/>
    <x v="52"/>
    <n v="0"/>
    <n v="66"/>
  </r>
  <r>
    <x v="11"/>
    <x v="66"/>
    <x v="60"/>
    <x v="59"/>
    <x v="61"/>
    <x v="61"/>
    <x v="60"/>
    <n v="3937"/>
    <n v="3444"/>
    <n v="3031"/>
    <n v="2758"/>
    <n v="2642"/>
    <n v="2083"/>
    <n v="1866"/>
    <x v="66"/>
    <x v="3"/>
    <x v="1"/>
    <x v="22"/>
    <n v="-54"/>
    <n v="45380"/>
  </r>
  <r>
    <x v="11"/>
    <x v="67"/>
    <x v="0"/>
    <x v="0"/>
    <x v="0"/>
    <x v="0"/>
    <x v="0"/>
    <n v="0"/>
    <n v="0"/>
    <n v="3455"/>
    <n v="4763"/>
    <n v="5351"/>
    <n v="5101"/>
    <n v="4994"/>
    <x v="67"/>
    <x v="0"/>
    <x v="0"/>
    <x v="53"/>
    <n v="0"/>
    <n v="23664"/>
  </r>
  <r>
    <x v="11"/>
    <x v="68"/>
    <x v="61"/>
    <x v="60"/>
    <x v="62"/>
    <x v="62"/>
    <x v="61"/>
    <n v="1347"/>
    <n v="1991"/>
    <n v="1892"/>
    <n v="1600"/>
    <n v="1947"/>
    <n v="1374"/>
    <n v="1307"/>
    <x v="68"/>
    <x v="5"/>
    <x v="0"/>
    <x v="54"/>
    <n v="-7"/>
    <n v="22071"/>
  </r>
  <r>
    <x v="11"/>
    <x v="69"/>
    <x v="62"/>
    <x v="61"/>
    <x v="63"/>
    <x v="63"/>
    <x v="62"/>
    <n v="12066"/>
    <n v="13902"/>
    <n v="12289"/>
    <n v="11470"/>
    <n v="14759"/>
    <n v="15329"/>
    <n v="13536"/>
    <x v="69"/>
    <x v="1"/>
    <x v="0"/>
    <x v="13"/>
    <n v="-11"/>
    <n v="161611"/>
  </r>
  <r>
    <x v="11"/>
    <x v="70"/>
    <x v="63"/>
    <x v="62"/>
    <x v="64"/>
    <x v="64"/>
    <x v="63"/>
    <n v="18238"/>
    <n v="16121"/>
    <n v="15643"/>
    <n v="13711"/>
    <n v="15740"/>
    <n v="15435"/>
    <n v="15073"/>
    <x v="70"/>
    <x v="1"/>
    <x v="0"/>
    <x v="53"/>
    <n v="9"/>
    <n v="202031"/>
  </r>
  <r>
    <x v="11"/>
    <x v="71"/>
    <x v="64"/>
    <x v="63"/>
    <x v="65"/>
    <x v="65"/>
    <x v="64"/>
    <n v="1394"/>
    <n v="2109"/>
    <n v="1951"/>
    <n v="1644"/>
    <n v="2086"/>
    <n v="1563"/>
    <n v="1385"/>
    <x v="71"/>
    <x v="5"/>
    <x v="0"/>
    <x v="55"/>
    <n v="-34"/>
    <n v="23113"/>
  </r>
  <r>
    <x v="11"/>
    <x v="72"/>
    <x v="65"/>
    <x v="64"/>
    <x v="66"/>
    <x v="66"/>
    <x v="65"/>
    <n v="5174"/>
    <n v="5665"/>
    <n v="4733"/>
    <n v="4225"/>
    <n v="4682"/>
    <n v="5319"/>
    <n v="5006"/>
    <x v="72"/>
    <x v="8"/>
    <x v="1"/>
    <x v="56"/>
    <n v="3"/>
    <n v="67337"/>
  </r>
  <r>
    <x v="11"/>
    <x v="73"/>
    <x v="66"/>
    <x v="65"/>
    <x v="67"/>
    <x v="67"/>
    <x v="66"/>
    <m/>
    <n v="1495"/>
    <n v="1148"/>
    <n v="894"/>
    <n v="926"/>
    <n v="859"/>
    <n v="1054"/>
    <x v="73"/>
    <x v="1"/>
    <x v="2"/>
    <x v="57"/>
    <n v="-46"/>
    <n v="15895"/>
  </r>
  <r>
    <x v="12"/>
    <x v="74"/>
    <x v="67"/>
    <x v="66"/>
    <x v="68"/>
    <x v="68"/>
    <x v="67"/>
    <n v="143"/>
    <n v="126"/>
    <n v="154"/>
    <n v="127"/>
    <n v="176"/>
    <n v="130"/>
    <n v="88"/>
    <x v="74"/>
    <x v="2"/>
    <x v="2"/>
    <x v="58"/>
    <n v="-51"/>
    <n v="1999"/>
  </r>
  <r>
    <x v="12"/>
    <x v="75"/>
    <x v="68"/>
    <x v="67"/>
    <x v="69"/>
    <x v="69"/>
    <x v="68"/>
    <n v="2675"/>
    <n v="2380"/>
    <n v="2338"/>
    <n v="2473"/>
    <n v="3684"/>
    <n v="2865"/>
    <n v="2206"/>
    <x v="75"/>
    <x v="2"/>
    <x v="0"/>
    <x v="59"/>
    <n v="-29"/>
    <n v="33597"/>
  </r>
  <r>
    <x v="12"/>
    <x v="76"/>
    <x v="69"/>
    <x v="68"/>
    <x v="70"/>
    <x v="70"/>
    <x v="69"/>
    <n v="4118"/>
    <n v="4836"/>
    <n v="4624"/>
    <n v="3246"/>
    <n v="4273"/>
    <n v="3806"/>
    <n v="3487"/>
    <x v="76"/>
    <x v="3"/>
    <x v="1"/>
    <x v="11"/>
    <n v="-15"/>
    <n v="49927"/>
  </r>
  <r>
    <x v="12"/>
    <x v="77"/>
    <x v="70"/>
    <x v="69"/>
    <x v="71"/>
    <x v="71"/>
    <x v="70"/>
    <n v="236"/>
    <n v="178"/>
    <n v="204"/>
    <n v="186"/>
    <n v="342"/>
    <n v="149"/>
    <n v="170"/>
    <x v="77"/>
    <x v="2"/>
    <x v="4"/>
    <x v="60"/>
    <n v="-47"/>
    <n v="2902"/>
  </r>
  <r>
    <x v="12"/>
    <x v="78"/>
    <x v="71"/>
    <x v="70"/>
    <x v="72"/>
    <x v="72"/>
    <x v="71"/>
    <n v="4275"/>
    <n v="7419"/>
    <n v="6534"/>
    <n v="5385"/>
    <n v="5449"/>
    <n v="4857"/>
    <n v="4770"/>
    <x v="78"/>
    <x v="0"/>
    <x v="0"/>
    <x v="53"/>
    <n v="-4"/>
    <n v="62956"/>
  </r>
  <r>
    <x v="12"/>
    <x v="79"/>
    <x v="72"/>
    <x v="71"/>
    <x v="73"/>
    <x v="73"/>
    <x v="72"/>
    <n v="9412"/>
    <n v="9912"/>
    <n v="9687"/>
    <n v="8052"/>
    <n v="8838"/>
    <n v="7867"/>
    <n v="9700"/>
    <x v="79"/>
    <x v="5"/>
    <x v="3"/>
    <x v="57"/>
    <n v="24"/>
    <n v="106900"/>
  </r>
  <r>
    <x v="12"/>
    <x v="80"/>
    <x v="0"/>
    <x v="0"/>
    <x v="0"/>
    <x v="0"/>
    <x v="0"/>
    <n v="0"/>
    <n v="0"/>
    <n v="0"/>
    <n v="0"/>
    <n v="0"/>
    <n v="0"/>
    <n v="0"/>
    <x v="21"/>
    <x v="4"/>
    <x v="0"/>
    <x v="3"/>
    <n v="0"/>
    <n v="0"/>
  </r>
  <r>
    <x v="12"/>
    <x v="81"/>
    <x v="73"/>
    <x v="72"/>
    <x v="74"/>
    <x v="74"/>
    <x v="73"/>
    <n v="1566"/>
    <n v="1929"/>
    <n v="1721"/>
    <n v="1968"/>
    <n v="2169"/>
    <n v="1803"/>
    <n v="1775"/>
    <x v="80"/>
    <x v="10"/>
    <x v="3"/>
    <x v="53"/>
    <n v="113"/>
    <n v="18099"/>
  </r>
  <r>
    <x v="12"/>
    <x v="82"/>
    <x v="0"/>
    <x v="0"/>
    <x v="0"/>
    <x v="0"/>
    <x v="74"/>
    <n v="3185"/>
    <n v="2640"/>
    <n v="3213"/>
    <n v="2278"/>
    <n v="3092"/>
    <n v="3620"/>
    <n v="2628"/>
    <x v="81"/>
    <x v="1"/>
    <x v="1"/>
    <x v="61"/>
    <n v="0"/>
    <n v="22836"/>
  </r>
  <r>
    <x v="12"/>
    <x v="83"/>
    <x v="74"/>
    <x v="73"/>
    <x v="75"/>
    <x v="21"/>
    <x v="75"/>
    <n v="142"/>
    <n v="113"/>
    <n v="114"/>
    <n v="87"/>
    <n v="115"/>
    <n v="86"/>
    <n v="63"/>
    <x v="82"/>
    <x v="4"/>
    <x v="3"/>
    <x v="61"/>
    <n v="70"/>
    <n v="943"/>
  </r>
  <r>
    <x v="13"/>
    <x v="84"/>
    <x v="75"/>
    <x v="74"/>
    <x v="76"/>
    <x v="75"/>
    <x v="76"/>
    <n v="1519"/>
    <n v="1564"/>
    <n v="1628"/>
    <n v="1611"/>
    <n v="2028"/>
    <n v="1497"/>
    <n v="2335"/>
    <x v="83"/>
    <x v="0"/>
    <x v="0"/>
    <x v="62"/>
    <n v="-5"/>
    <n v="19650"/>
  </r>
  <r>
    <x v="13"/>
    <x v="85"/>
    <x v="76"/>
    <x v="75"/>
    <x v="77"/>
    <x v="76"/>
    <x v="77"/>
    <n v="85"/>
    <n v="77"/>
    <n v="73"/>
    <n v="86"/>
    <n v="79"/>
    <n v="79"/>
    <n v="195"/>
    <x v="84"/>
    <x v="2"/>
    <x v="0"/>
    <x v="63"/>
    <n v="-29"/>
    <n v="1193"/>
  </r>
  <r>
    <x v="13"/>
    <x v="86"/>
    <x v="77"/>
    <x v="76"/>
    <x v="78"/>
    <x v="77"/>
    <x v="78"/>
    <n v="1656"/>
    <n v="1766"/>
    <n v="1876"/>
    <n v="1697"/>
    <n v="2351"/>
    <n v="1457"/>
    <n v="2257"/>
    <x v="85"/>
    <x v="0"/>
    <x v="2"/>
    <x v="64"/>
    <n v="3"/>
    <n v="21210"/>
  </r>
  <r>
    <x v="14"/>
    <x v="87"/>
    <x v="78"/>
    <x v="77"/>
    <x v="79"/>
    <x v="78"/>
    <x v="79"/>
    <m/>
    <m/>
    <m/>
    <m/>
    <m/>
    <m/>
    <m/>
    <x v="86"/>
    <x v="11"/>
    <x v="5"/>
    <x v="6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4">
  <r>
    <x v="0"/>
    <s v="Basalt"/>
    <x v="0"/>
    <n v="0"/>
    <n v="1267"/>
    <s v="C2"/>
    <s v="SUV"/>
    <x v="0"/>
    <n v="0"/>
  </r>
  <r>
    <x v="0"/>
    <s v="Basalt"/>
    <x v="1"/>
    <n v="0"/>
    <n v="1267"/>
    <s v="C2"/>
    <s v="SUV"/>
    <x v="0"/>
    <n v="0"/>
  </r>
  <r>
    <x v="0"/>
    <s v="Basalt"/>
    <x v="2"/>
    <n v="0"/>
    <n v="1267"/>
    <s v="C2"/>
    <s v="SUV"/>
    <x v="0"/>
    <n v="0"/>
  </r>
  <r>
    <x v="0"/>
    <s v="Basalt"/>
    <x v="3"/>
    <n v="0"/>
    <n v="1267"/>
    <s v="C2"/>
    <s v="SUV"/>
    <x v="0"/>
    <n v="0"/>
  </r>
  <r>
    <x v="0"/>
    <s v="Basalt"/>
    <x v="4"/>
    <n v="0"/>
    <n v="1267"/>
    <s v="C2"/>
    <s v="SUV"/>
    <x v="0"/>
    <n v="0"/>
  </r>
  <r>
    <x v="0"/>
    <s v="Basalt"/>
    <x v="5"/>
    <n v="0"/>
    <n v="1267"/>
    <s v="C2"/>
    <s v="SUV"/>
    <x v="0"/>
    <n v="0"/>
  </r>
  <r>
    <x v="0"/>
    <s v="Basalt"/>
    <x v="6"/>
    <n v="0"/>
    <n v="1267"/>
    <s v="C2"/>
    <s v="SUV"/>
    <x v="0"/>
    <n v="0"/>
  </r>
  <r>
    <x v="0"/>
    <s v="Basalt"/>
    <x v="7"/>
    <n v="579"/>
    <n v="1267"/>
    <s v="C2"/>
    <s v="SUV"/>
    <x v="0"/>
    <n v="0"/>
  </r>
  <r>
    <x v="0"/>
    <s v="Basalt"/>
    <x v="8"/>
    <n v="341"/>
    <n v="1267"/>
    <s v="C2"/>
    <s v="SUV"/>
    <x v="0"/>
    <n v="0"/>
  </r>
  <r>
    <x v="0"/>
    <s v="Basalt"/>
    <x v="9"/>
    <n v="221"/>
    <n v="1267"/>
    <s v="C2"/>
    <s v="SUV"/>
    <x v="0"/>
    <n v="0"/>
  </r>
  <r>
    <x v="0"/>
    <s v="Basalt"/>
    <x v="10"/>
    <n v="47"/>
    <n v="1267"/>
    <s v="C2"/>
    <s v="SUV"/>
    <x v="0"/>
    <n v="0"/>
  </r>
  <r>
    <x v="0"/>
    <s v="Basalt"/>
    <x v="11"/>
    <n v="79"/>
    <n v="1267"/>
    <s v="C2"/>
    <s v="SUV"/>
    <x v="0"/>
    <n v="0"/>
  </r>
  <r>
    <x v="0"/>
    <s v="C3"/>
    <x v="0"/>
    <n v="234"/>
    <n v="2890"/>
    <s v="C1"/>
    <s v="Hatchback"/>
    <x v="1"/>
    <n v="-3"/>
  </r>
  <r>
    <x v="0"/>
    <s v="C3"/>
    <x v="1"/>
    <n v="211"/>
    <n v="2890"/>
    <s v="C1"/>
    <s v="Hatchback"/>
    <x v="1"/>
    <n v="-3"/>
  </r>
  <r>
    <x v="0"/>
    <s v="C3"/>
    <x v="2"/>
    <n v="265"/>
    <n v="2890"/>
    <s v="C1"/>
    <s v="Hatchback"/>
    <x v="1"/>
    <n v="-3"/>
  </r>
  <r>
    <x v="0"/>
    <s v="C3"/>
    <x v="3"/>
    <n v="251"/>
    <n v="2890"/>
    <s v="C1"/>
    <s v="Hatchback"/>
    <x v="1"/>
    <n v="-3"/>
  </r>
  <r>
    <x v="0"/>
    <s v="C3"/>
    <x v="4"/>
    <n v="155"/>
    <n v="2890"/>
    <s v="C1"/>
    <s v="Hatchback"/>
    <x v="1"/>
    <n v="-3"/>
  </r>
  <r>
    <x v="0"/>
    <s v="C3"/>
    <x v="5"/>
    <n v="77"/>
    <n v="2890"/>
    <s v="C1"/>
    <s v="Hatchback"/>
    <x v="1"/>
    <n v="-3"/>
  </r>
  <r>
    <x v="0"/>
    <s v="C3"/>
    <x v="6"/>
    <n v="90"/>
    <n v="2890"/>
    <s v="C1"/>
    <s v="Hatchback"/>
    <x v="1"/>
    <n v="-3"/>
  </r>
  <r>
    <x v="0"/>
    <s v="C3"/>
    <x v="7"/>
    <n v="507"/>
    <n v="2890"/>
    <s v="C1"/>
    <s v="Hatchback"/>
    <x v="1"/>
    <n v="-3"/>
  </r>
  <r>
    <x v="0"/>
    <s v="C3"/>
    <x v="8"/>
    <n v="300"/>
    <n v="2890"/>
    <s v="C1"/>
    <s v="Hatchback"/>
    <x v="1"/>
    <n v="-3"/>
  </r>
  <r>
    <x v="0"/>
    <s v="C3"/>
    <x v="9"/>
    <n v="300"/>
    <n v="2890"/>
    <s v="C1"/>
    <s v="Hatchback"/>
    <x v="1"/>
    <n v="-3"/>
  </r>
  <r>
    <x v="0"/>
    <s v="C3"/>
    <x v="10"/>
    <n v="200"/>
    <n v="2890"/>
    <s v="C1"/>
    <s v="Hatchback"/>
    <x v="1"/>
    <n v="-3"/>
  </r>
  <r>
    <x v="0"/>
    <s v="C3"/>
    <x v="11"/>
    <n v="300"/>
    <n v="2890"/>
    <s v="C1"/>
    <s v="Hatchback"/>
    <x v="1"/>
    <n v="-3"/>
  </r>
  <r>
    <x v="0"/>
    <s v="Aircross"/>
    <x v="0"/>
    <n v="231"/>
    <n v="1470"/>
    <s v="C2"/>
    <s v="SUV"/>
    <x v="2"/>
    <n v="-72"/>
  </r>
  <r>
    <x v="0"/>
    <s v="Aircross"/>
    <x v="1"/>
    <n v="127"/>
    <n v="1470"/>
    <s v="C2"/>
    <s v="SUV"/>
    <x v="2"/>
    <n v="-72"/>
  </r>
  <r>
    <x v="0"/>
    <s v="Aircross"/>
    <x v="2"/>
    <n v="211"/>
    <n v="1470"/>
    <s v="C2"/>
    <s v="SUV"/>
    <x v="2"/>
    <n v="-72"/>
  </r>
  <r>
    <x v="0"/>
    <s v="Aircross"/>
    <x v="3"/>
    <n v="93"/>
    <n v="1470"/>
    <s v="C2"/>
    <s v="SUV"/>
    <x v="2"/>
    <n v="-72"/>
  </r>
  <r>
    <x v="0"/>
    <s v="Aircross"/>
    <x v="4"/>
    <n v="125"/>
    <n v="1470"/>
    <s v="C2"/>
    <s v="SUV"/>
    <x v="2"/>
    <n v="-72"/>
  </r>
  <r>
    <x v="0"/>
    <s v="Aircross"/>
    <x v="5"/>
    <n v="136"/>
    <n v="1470"/>
    <s v="C2"/>
    <s v="SUV"/>
    <x v="2"/>
    <n v="-72"/>
  </r>
  <r>
    <x v="0"/>
    <s v="Aircross"/>
    <x v="6"/>
    <n v="68"/>
    <n v="1470"/>
    <s v="C2"/>
    <s v="SUV"/>
    <x v="2"/>
    <n v="-72"/>
  </r>
  <r>
    <x v="0"/>
    <s v="Aircross"/>
    <x v="7"/>
    <n v="38"/>
    <n v="1470"/>
    <s v="C2"/>
    <s v="SUV"/>
    <x v="2"/>
    <n v="-72"/>
  </r>
  <r>
    <x v="0"/>
    <s v="Aircross"/>
    <x v="8"/>
    <n v="41"/>
    <n v="1470"/>
    <s v="C2"/>
    <s v="SUV"/>
    <x v="2"/>
    <n v="-72"/>
  </r>
  <r>
    <x v="0"/>
    <s v="Aircross"/>
    <x v="9"/>
    <n v="103"/>
    <n v="1470"/>
    <s v="C2"/>
    <s v="SUV"/>
    <x v="2"/>
    <n v="-72"/>
  </r>
  <r>
    <x v="0"/>
    <s v="Aircross"/>
    <x v="10"/>
    <n v="201"/>
    <n v="1470"/>
    <s v="C2"/>
    <s v="SUV"/>
    <x v="2"/>
    <n v="-72"/>
  </r>
  <r>
    <x v="0"/>
    <s v="Aircross"/>
    <x v="11"/>
    <n v="96"/>
    <n v="1470"/>
    <s v="C2"/>
    <s v="SUV"/>
    <x v="2"/>
    <n v="-72"/>
  </r>
  <r>
    <x v="0"/>
    <s v="C5 Aircross"/>
    <x v="0"/>
    <n v="1"/>
    <n v="9"/>
    <s v="D2"/>
    <s v="SUV"/>
    <x v="3"/>
    <n v="-50"/>
  </r>
  <r>
    <x v="0"/>
    <s v="C5 Aircross"/>
    <x v="1"/>
    <n v="0"/>
    <n v="9"/>
    <s v="D2"/>
    <s v="SUV"/>
    <x v="3"/>
    <n v="-50"/>
  </r>
  <r>
    <x v="0"/>
    <s v="C5 Aircross"/>
    <x v="2"/>
    <n v="0"/>
    <n v="9"/>
    <s v="D2"/>
    <s v="SUV"/>
    <x v="3"/>
    <n v="-50"/>
  </r>
  <r>
    <x v="0"/>
    <s v="C5 Aircross"/>
    <x v="3"/>
    <n v="1"/>
    <n v="9"/>
    <s v="D2"/>
    <s v="SUV"/>
    <x v="3"/>
    <n v="-50"/>
  </r>
  <r>
    <x v="0"/>
    <s v="C5 Aircross"/>
    <x v="4"/>
    <n v="0"/>
    <n v="9"/>
    <s v="D2"/>
    <s v="SUV"/>
    <x v="3"/>
    <n v="-50"/>
  </r>
  <r>
    <x v="0"/>
    <s v="C5 Aircross"/>
    <x v="5"/>
    <n v="0"/>
    <n v="9"/>
    <s v="D2"/>
    <s v="SUV"/>
    <x v="3"/>
    <n v="-50"/>
  </r>
  <r>
    <x v="0"/>
    <s v="C5 Aircross"/>
    <x v="6"/>
    <n v="0"/>
    <n v="9"/>
    <s v="D2"/>
    <s v="SUV"/>
    <x v="3"/>
    <n v="-50"/>
  </r>
  <r>
    <x v="0"/>
    <s v="C5 Aircross"/>
    <x v="7"/>
    <n v="1"/>
    <n v="9"/>
    <s v="D2"/>
    <s v="SUV"/>
    <x v="3"/>
    <n v="-50"/>
  </r>
  <r>
    <x v="0"/>
    <s v="C5 Aircross"/>
    <x v="8"/>
    <n v="1"/>
    <n v="9"/>
    <s v="D2"/>
    <s v="SUV"/>
    <x v="3"/>
    <n v="-50"/>
  </r>
  <r>
    <x v="0"/>
    <s v="C5 Aircross"/>
    <x v="9"/>
    <n v="4"/>
    <n v="9"/>
    <s v="D2"/>
    <s v="SUV"/>
    <x v="3"/>
    <n v="-50"/>
  </r>
  <r>
    <x v="0"/>
    <s v="C5 Aircross"/>
    <x v="10"/>
    <n v="0"/>
    <n v="9"/>
    <s v="D2"/>
    <s v="SUV"/>
    <x v="3"/>
    <n v="-50"/>
  </r>
  <r>
    <x v="0"/>
    <s v="C5 Aircross"/>
    <x v="11"/>
    <n v="1"/>
    <n v="9"/>
    <s v="D2"/>
    <s v="SUV"/>
    <x v="3"/>
    <n v="-50"/>
  </r>
  <r>
    <x v="0"/>
    <s v="e-C3"/>
    <x v="0"/>
    <n v="184"/>
    <n v="1812"/>
    <s v="C1"/>
    <s v="SUV"/>
    <x v="4"/>
    <n v="0"/>
  </r>
  <r>
    <x v="0"/>
    <s v="e-C3"/>
    <x v="1"/>
    <n v="83"/>
    <n v="1812"/>
    <s v="C1"/>
    <s v="SUV"/>
    <x v="4"/>
    <n v="0"/>
  </r>
  <r>
    <x v="0"/>
    <s v="e-C3"/>
    <x v="2"/>
    <n v="530"/>
    <n v="1812"/>
    <s v="C1"/>
    <s v="SUV"/>
    <x v="4"/>
    <n v="0"/>
  </r>
  <r>
    <x v="0"/>
    <s v="e-C3"/>
    <x v="3"/>
    <n v="59"/>
    <n v="1812"/>
    <s v="C1"/>
    <s v="SUV"/>
    <x v="4"/>
    <n v="0"/>
  </r>
  <r>
    <x v="0"/>
    <s v="e-C3"/>
    <x v="4"/>
    <n v="235"/>
    <n v="1812"/>
    <s v="C1"/>
    <s v="SUV"/>
    <x v="4"/>
    <n v="0"/>
  </r>
  <r>
    <x v="0"/>
    <s v="e-C3"/>
    <x v="5"/>
    <n v="126"/>
    <n v="1812"/>
    <s v="C1"/>
    <s v="SUV"/>
    <x v="4"/>
    <n v="0"/>
  </r>
  <r>
    <x v="0"/>
    <s v="e-C3"/>
    <x v="6"/>
    <n v="177"/>
    <n v="1812"/>
    <s v="C1"/>
    <s v="SUV"/>
    <x v="4"/>
    <n v="0"/>
  </r>
  <r>
    <x v="0"/>
    <s v="e-C3"/>
    <x v="7"/>
    <n v="150"/>
    <n v="1812"/>
    <s v="C1"/>
    <s v="SUV"/>
    <x v="4"/>
    <n v="0"/>
  </r>
  <r>
    <x v="0"/>
    <s v="e-C3"/>
    <x v="8"/>
    <n v="28"/>
    <n v="1812"/>
    <s v="C1"/>
    <s v="SUV"/>
    <x v="4"/>
    <n v="0"/>
  </r>
  <r>
    <x v="0"/>
    <s v="e-C3"/>
    <x v="9"/>
    <n v="89"/>
    <n v="1812"/>
    <s v="C1"/>
    <s v="SUV"/>
    <x v="4"/>
    <n v="0"/>
  </r>
  <r>
    <x v="0"/>
    <s v="e-C3"/>
    <x v="10"/>
    <n v="61"/>
    <n v="1812"/>
    <s v="C1"/>
    <s v="SUV"/>
    <x v="4"/>
    <n v="0"/>
  </r>
  <r>
    <x v="0"/>
    <s v="e-C3"/>
    <x v="11"/>
    <n v="90"/>
    <n v="1812"/>
    <s v="C1"/>
    <s v="SUV"/>
    <x v="4"/>
    <n v="0"/>
  </r>
  <r>
    <x v="1"/>
    <s v="Amaze"/>
    <x v="0"/>
    <n v="2972"/>
    <n v="30690"/>
    <s v="C1"/>
    <s v="Sedan"/>
    <x v="5"/>
    <n v="54"/>
  </r>
  <r>
    <x v="1"/>
    <s v="Amaze"/>
    <x v="1"/>
    <n v="2774"/>
    <n v="30690"/>
    <s v="C1"/>
    <s v="Sedan"/>
    <x v="5"/>
    <n v="54"/>
  </r>
  <r>
    <x v="1"/>
    <s v="Amaze"/>
    <x v="2"/>
    <n v="2678"/>
    <n v="30690"/>
    <s v="C1"/>
    <s v="Sedan"/>
    <x v="5"/>
    <n v="54"/>
  </r>
  <r>
    <x v="1"/>
    <s v="Amaze"/>
    <x v="3"/>
    <n v="1796"/>
    <n v="30690"/>
    <s v="C1"/>
    <s v="Sedan"/>
    <x v="5"/>
    <n v="54"/>
  </r>
  <r>
    <x v="1"/>
    <s v="Amaze"/>
    <x v="4"/>
    <n v="2215"/>
    <n v="30690"/>
    <s v="C1"/>
    <s v="Sedan"/>
    <x v="5"/>
    <n v="54"/>
  </r>
  <r>
    <x v="1"/>
    <s v="Amaze"/>
    <x v="5"/>
    <n v="1794"/>
    <n v="30690"/>
    <s v="C1"/>
    <s v="Sedan"/>
    <x v="5"/>
    <n v="54"/>
  </r>
  <r>
    <x v="1"/>
    <s v="Amaze"/>
    <x v="6"/>
    <n v="2327"/>
    <n v="30690"/>
    <s v="C1"/>
    <s v="Sedan"/>
    <x v="5"/>
    <n v="54"/>
  </r>
  <r>
    <x v="1"/>
    <s v="Amaze"/>
    <x v="7"/>
    <n v="2585"/>
    <n v="30690"/>
    <s v="C1"/>
    <s v="Sedan"/>
    <x v="5"/>
    <n v="54"/>
  </r>
  <r>
    <x v="1"/>
    <s v="Amaze"/>
    <x v="8"/>
    <n v="2820"/>
    <n v="30690"/>
    <s v="C1"/>
    <s v="Sedan"/>
    <x v="5"/>
    <n v="54"/>
  </r>
  <r>
    <x v="1"/>
    <s v="Amaze"/>
    <x v="9"/>
    <n v="2393"/>
    <n v="30690"/>
    <s v="C1"/>
    <s v="Sedan"/>
    <x v="5"/>
    <n v="54"/>
  </r>
  <r>
    <x v="1"/>
    <s v="Amaze"/>
    <x v="10"/>
    <n v="2628"/>
    <n v="30690"/>
    <s v="C1"/>
    <s v="Sedan"/>
    <x v="5"/>
    <n v="54"/>
  </r>
  <r>
    <x v="1"/>
    <s v="Amaze"/>
    <x v="11"/>
    <n v="3708"/>
    <n v="30690"/>
    <s v="C1"/>
    <s v="Sedan"/>
    <x v="5"/>
    <n v="54"/>
  </r>
  <r>
    <x v="1"/>
    <s v="City"/>
    <x v="0"/>
    <n v="1123"/>
    <n v="11526"/>
    <s v="C2"/>
    <s v="Sedan"/>
    <x v="6"/>
    <n v="-30"/>
  </r>
  <r>
    <x v="1"/>
    <s v="City"/>
    <x v="1"/>
    <n v="1184"/>
    <n v="11526"/>
    <s v="C2"/>
    <s v="Sedan"/>
    <x v="6"/>
    <n v="-30"/>
  </r>
  <r>
    <x v="1"/>
    <s v="City"/>
    <x v="2"/>
    <n v="1116"/>
    <n v="11526"/>
    <s v="C2"/>
    <s v="Sedan"/>
    <x v="6"/>
    <n v="-30"/>
  </r>
  <r>
    <x v="1"/>
    <s v="City"/>
    <x v="3"/>
    <n v="824"/>
    <n v="11526"/>
    <s v="C2"/>
    <s v="Sedan"/>
    <x v="6"/>
    <n v="-30"/>
  </r>
  <r>
    <x v="1"/>
    <s v="City"/>
    <x v="4"/>
    <n v="1054"/>
    <n v="11526"/>
    <s v="C2"/>
    <s v="Sedan"/>
    <x v="6"/>
    <n v="-30"/>
  </r>
  <r>
    <x v="1"/>
    <s v="City"/>
    <x v="5"/>
    <n v="859"/>
    <n v="11526"/>
    <s v="C2"/>
    <s v="Sedan"/>
    <x v="6"/>
    <n v="-30"/>
  </r>
  <r>
    <x v="1"/>
    <s v="City"/>
    <x v="6"/>
    <n v="957"/>
    <n v="11526"/>
    <s v="C2"/>
    <s v="Sedan"/>
    <x v="6"/>
    <n v="-30"/>
  </r>
  <r>
    <x v="1"/>
    <s v="City"/>
    <x v="7"/>
    <n v="1018"/>
    <n v="11526"/>
    <s v="C2"/>
    <s v="Sedan"/>
    <x v="6"/>
    <n v="-30"/>
  </r>
  <r>
    <x v="1"/>
    <s v="City"/>
    <x v="8"/>
    <n v="895"/>
    <n v="11526"/>
    <s v="C2"/>
    <s v="Sedan"/>
    <x v="6"/>
    <n v="-30"/>
  </r>
  <r>
    <x v="1"/>
    <s v="City"/>
    <x v="9"/>
    <n v="1004"/>
    <n v="11526"/>
    <s v="C2"/>
    <s v="Sedan"/>
    <x v="6"/>
    <n v="-30"/>
  </r>
  <r>
    <x v="1"/>
    <s v="City"/>
    <x v="10"/>
    <n v="709"/>
    <n v="11526"/>
    <s v="C2"/>
    <s v="Sedan"/>
    <x v="6"/>
    <n v="-30"/>
  </r>
  <r>
    <x v="1"/>
    <s v="City"/>
    <x v="11"/>
    <n v="783"/>
    <n v="11526"/>
    <s v="C2"/>
    <s v="Sedan"/>
    <x v="6"/>
    <n v="-30"/>
  </r>
  <r>
    <x v="1"/>
    <s v="Elevate"/>
    <x v="0"/>
    <n v="4586"/>
    <n v="27656"/>
    <s v="C2"/>
    <s v="SUV"/>
    <x v="7"/>
    <n v="-47"/>
  </r>
  <r>
    <x v="1"/>
    <s v="Elevate"/>
    <x v="1"/>
    <n v="3184"/>
    <n v="27656"/>
    <s v="C2"/>
    <s v="SUV"/>
    <x v="7"/>
    <n v="-47"/>
  </r>
  <r>
    <x v="1"/>
    <s v="Elevate"/>
    <x v="2"/>
    <n v="3277"/>
    <n v="27656"/>
    <s v="C2"/>
    <s v="SUV"/>
    <x v="7"/>
    <n v="-47"/>
  </r>
  <r>
    <x v="1"/>
    <s v="Elevate"/>
    <x v="3"/>
    <n v="1731"/>
    <n v="27656"/>
    <s v="C2"/>
    <s v="SUV"/>
    <x v="7"/>
    <n v="-47"/>
  </r>
  <r>
    <x v="1"/>
    <s v="Elevate"/>
    <x v="4"/>
    <n v="1553"/>
    <n v="27656"/>
    <s v="C2"/>
    <s v="SUV"/>
    <x v="7"/>
    <n v="-47"/>
  </r>
  <r>
    <x v="1"/>
    <s v="Elevate"/>
    <x v="5"/>
    <n v="2151"/>
    <n v="27656"/>
    <s v="C2"/>
    <s v="SUV"/>
    <x v="7"/>
    <n v="-47"/>
  </r>
  <r>
    <x v="1"/>
    <s v="Elevate"/>
    <x v="6"/>
    <n v="1340"/>
    <n v="27656"/>
    <s v="C2"/>
    <s v="SUV"/>
    <x v="7"/>
    <n v="-47"/>
  </r>
  <r>
    <x v="1"/>
    <s v="Elevate"/>
    <x v="7"/>
    <n v="1723"/>
    <n v="27656"/>
    <s v="C2"/>
    <s v="SUV"/>
    <x v="7"/>
    <n v="-47"/>
  </r>
  <r>
    <x v="1"/>
    <s v="Elevate"/>
    <x v="8"/>
    <n v="1960"/>
    <n v="27656"/>
    <s v="C2"/>
    <s v="SUV"/>
    <x v="7"/>
    <n v="-47"/>
  </r>
  <r>
    <x v="1"/>
    <s v="Elevate"/>
    <x v="9"/>
    <n v="2149"/>
    <n v="27656"/>
    <s v="C2"/>
    <s v="SUV"/>
    <x v="7"/>
    <n v="-47"/>
  </r>
  <r>
    <x v="1"/>
    <s v="Elevate"/>
    <x v="10"/>
    <n v="1668"/>
    <n v="27656"/>
    <s v="C2"/>
    <s v="SUV"/>
    <x v="7"/>
    <n v="-47"/>
  </r>
  <r>
    <x v="1"/>
    <s v="Elevate"/>
    <x v="11"/>
    <n v="2334"/>
    <n v="27656"/>
    <s v="C2"/>
    <s v="SUV"/>
    <x v="7"/>
    <n v="-47"/>
  </r>
  <r>
    <x v="2"/>
    <s v="Aura"/>
    <x v="0"/>
    <n v="5516"/>
    <n v="55138"/>
    <s v="C1"/>
    <s v="Sedan"/>
    <x v="8"/>
    <n v="1"/>
  </r>
  <r>
    <x v="2"/>
    <s v="Aura"/>
    <x v="1"/>
    <n v="5053"/>
    <n v="55138"/>
    <s v="C1"/>
    <s v="Sedan"/>
    <x v="8"/>
    <n v="1"/>
  </r>
  <r>
    <x v="2"/>
    <s v="Aura"/>
    <x v="2"/>
    <n v="4883"/>
    <n v="55138"/>
    <s v="C1"/>
    <s v="Sedan"/>
    <x v="8"/>
    <n v="1"/>
  </r>
  <r>
    <x v="2"/>
    <s v="Aura"/>
    <x v="3"/>
    <n v="4526"/>
    <n v="55138"/>
    <s v="C1"/>
    <s v="Sedan"/>
    <x v="8"/>
    <n v="1"/>
  </r>
  <r>
    <x v="2"/>
    <s v="Aura"/>
    <x v="4"/>
    <n v="4433"/>
    <n v="55138"/>
    <s v="C1"/>
    <s v="Sedan"/>
    <x v="8"/>
    <n v="1"/>
  </r>
  <r>
    <x v="2"/>
    <s v="Aura"/>
    <x v="5"/>
    <n v="4299"/>
    <n v="55138"/>
    <s v="C1"/>
    <s v="Sedan"/>
    <x v="8"/>
    <n v="1"/>
  </r>
  <r>
    <x v="2"/>
    <s v="Aura"/>
    <x v="6"/>
    <n v="4757"/>
    <n v="55138"/>
    <s v="C1"/>
    <s v="Sedan"/>
    <x v="8"/>
    <n v="1"/>
  </r>
  <r>
    <x v="2"/>
    <s v="Aura"/>
    <x v="7"/>
    <n v="4304"/>
    <n v="55138"/>
    <s v="C1"/>
    <s v="Sedan"/>
    <x v="8"/>
    <n v="1"/>
  </r>
  <r>
    <x v="2"/>
    <s v="Aura"/>
    <x v="8"/>
    <n v="4462"/>
    <n v="55138"/>
    <s v="C1"/>
    <s v="Sedan"/>
    <x v="8"/>
    <n v="1"/>
  </r>
  <r>
    <x v="2"/>
    <s v="Aura"/>
    <x v="9"/>
    <n v="4805"/>
    <n v="55138"/>
    <s v="C1"/>
    <s v="Sedan"/>
    <x v="8"/>
    <n v="1"/>
  </r>
  <r>
    <x v="2"/>
    <s v="Aura"/>
    <x v="10"/>
    <n v="4248"/>
    <n v="55138"/>
    <s v="C1"/>
    <s v="Sedan"/>
    <x v="8"/>
    <n v="1"/>
  </r>
  <r>
    <x v="2"/>
    <s v="Aura"/>
    <x v="11"/>
    <n v="3852"/>
    <n v="55138"/>
    <s v="C1"/>
    <s v="Sedan"/>
    <x v="8"/>
    <n v="1"/>
  </r>
  <r>
    <x v="2"/>
    <s v="Alcazar"/>
    <x v="0"/>
    <n v="1827"/>
    <n v="17664"/>
    <s v="C2"/>
    <s v="MUV"/>
    <x v="9"/>
    <n v="41"/>
  </r>
  <r>
    <x v="2"/>
    <s v="Alcazar"/>
    <x v="1"/>
    <n v="1290"/>
    <n v="17664"/>
    <s v="C2"/>
    <s v="MUV"/>
    <x v="9"/>
    <n v="41"/>
  </r>
  <r>
    <x v="2"/>
    <s v="Alcazar"/>
    <x v="2"/>
    <n v="1420"/>
    <n v="17664"/>
    <s v="C2"/>
    <s v="MUV"/>
    <x v="9"/>
    <n v="41"/>
  </r>
  <r>
    <x v="2"/>
    <s v="Alcazar"/>
    <x v="3"/>
    <n v="1219"/>
    <n v="17664"/>
    <s v="C2"/>
    <s v="MUV"/>
    <x v="9"/>
    <n v="41"/>
  </r>
  <r>
    <x v="2"/>
    <s v="Alcazar"/>
    <x v="4"/>
    <n v="944"/>
    <n v="17664"/>
    <s v="C2"/>
    <s v="MUV"/>
    <x v="9"/>
    <n v="41"/>
  </r>
  <r>
    <x v="2"/>
    <s v="Alcazar"/>
    <x v="5"/>
    <n v="882"/>
    <n v="17664"/>
    <s v="C2"/>
    <s v="MUV"/>
    <x v="9"/>
    <n v="41"/>
  </r>
  <r>
    <x v="2"/>
    <s v="Alcazar"/>
    <x v="6"/>
    <n v="585"/>
    <n v="17664"/>
    <s v="C2"/>
    <s v="MUV"/>
    <x v="9"/>
    <n v="41"/>
  </r>
  <r>
    <x v="2"/>
    <s v="Alcazar"/>
    <x v="7"/>
    <n v="1105"/>
    <n v="17664"/>
    <s v="C2"/>
    <s v="MUV"/>
    <x v="9"/>
    <n v="41"/>
  </r>
  <r>
    <x v="2"/>
    <s v="Alcazar"/>
    <x v="8"/>
    <n v="2712"/>
    <n v="17664"/>
    <s v="C2"/>
    <s v="MUV"/>
    <x v="9"/>
    <n v="41"/>
  </r>
  <r>
    <x v="2"/>
    <s v="Alcazar"/>
    <x v="9"/>
    <n v="2204"/>
    <n v="17664"/>
    <s v="C2"/>
    <s v="MUV"/>
    <x v="9"/>
    <n v="41"/>
  </r>
  <r>
    <x v="2"/>
    <s v="Alcazar"/>
    <x v="10"/>
    <n v="2134"/>
    <n v="17664"/>
    <s v="C2"/>
    <s v="MUV"/>
    <x v="9"/>
    <n v="41"/>
  </r>
  <r>
    <x v="2"/>
    <s v="Alcazar"/>
    <x v="11"/>
    <n v="1342"/>
    <n v="17664"/>
    <s v="C2"/>
    <s v="MUV"/>
    <x v="9"/>
    <n v="41"/>
  </r>
  <r>
    <x v="2"/>
    <s v="Creta"/>
    <x v="0"/>
    <n v="13212"/>
    <n v="186919"/>
    <s v="C2"/>
    <s v="SUV"/>
    <x v="10"/>
    <n v="36"/>
  </r>
  <r>
    <x v="2"/>
    <s v="Creta"/>
    <x v="1"/>
    <n v="15276"/>
    <n v="186919"/>
    <s v="C2"/>
    <s v="SUV"/>
    <x v="10"/>
    <n v="36"/>
  </r>
  <r>
    <x v="2"/>
    <s v="Creta"/>
    <x v="2"/>
    <n v="16458"/>
    <n v="186919"/>
    <s v="C2"/>
    <s v="SUV"/>
    <x v="10"/>
    <n v="36"/>
  </r>
  <r>
    <x v="2"/>
    <s v="Creta"/>
    <x v="3"/>
    <n v="15447"/>
    <n v="186919"/>
    <s v="C2"/>
    <s v="SUV"/>
    <x v="10"/>
    <n v="36"/>
  </r>
  <r>
    <x v="2"/>
    <s v="Creta"/>
    <x v="4"/>
    <n v="14662"/>
    <n v="186919"/>
    <s v="C2"/>
    <s v="SUV"/>
    <x v="10"/>
    <n v="36"/>
  </r>
  <r>
    <x v="2"/>
    <s v="Creta"/>
    <x v="5"/>
    <n v="16293"/>
    <n v="186919"/>
    <s v="C2"/>
    <s v="SUV"/>
    <x v="10"/>
    <n v="36"/>
  </r>
  <r>
    <x v="2"/>
    <s v="Creta"/>
    <x v="6"/>
    <n v="17350"/>
    <n v="186919"/>
    <s v="C2"/>
    <s v="SUV"/>
    <x v="10"/>
    <n v="36"/>
  </r>
  <r>
    <x v="2"/>
    <s v="Creta"/>
    <x v="7"/>
    <n v="16762"/>
    <n v="186919"/>
    <s v="C2"/>
    <s v="SUV"/>
    <x v="10"/>
    <n v="36"/>
  </r>
  <r>
    <x v="2"/>
    <s v="Creta"/>
    <x v="8"/>
    <n v="15902"/>
    <n v="186919"/>
    <s v="C2"/>
    <s v="SUV"/>
    <x v="10"/>
    <n v="36"/>
  </r>
  <r>
    <x v="2"/>
    <s v="Creta"/>
    <x v="9"/>
    <n v="17497"/>
    <n v="186919"/>
    <s v="C2"/>
    <s v="SUV"/>
    <x v="10"/>
    <n v="36"/>
  </r>
  <r>
    <x v="2"/>
    <s v="Creta"/>
    <x v="10"/>
    <n v="15452"/>
    <n v="186919"/>
    <s v="C2"/>
    <s v="SUV"/>
    <x v="10"/>
    <n v="36"/>
  </r>
  <r>
    <x v="2"/>
    <s v="Creta"/>
    <x v="11"/>
    <n v="12608"/>
    <n v="186919"/>
    <s v="C2"/>
    <s v="SUV"/>
    <x v="10"/>
    <n v="36"/>
  </r>
  <r>
    <x v="2"/>
    <s v="Exter"/>
    <x v="0"/>
    <n v="8229"/>
    <n v="84368"/>
    <s v="C1"/>
    <s v="SUV"/>
    <x v="11"/>
    <n v="-30"/>
  </r>
  <r>
    <x v="2"/>
    <s v="Exter"/>
    <x v="1"/>
    <n v="7582"/>
    <n v="84368"/>
    <s v="C1"/>
    <s v="SUV"/>
    <x v="11"/>
    <n v="-30"/>
  </r>
  <r>
    <x v="2"/>
    <s v="Exter"/>
    <x v="2"/>
    <n v="8475"/>
    <n v="84368"/>
    <s v="C1"/>
    <s v="SUV"/>
    <x v="11"/>
    <n v="-30"/>
  </r>
  <r>
    <x v="2"/>
    <s v="Exter"/>
    <x v="3"/>
    <n v="7756"/>
    <n v="84368"/>
    <s v="C1"/>
    <s v="SUV"/>
    <x v="11"/>
    <n v="-30"/>
  </r>
  <r>
    <x v="2"/>
    <s v="Exter"/>
    <x v="4"/>
    <n v="7697"/>
    <n v="84368"/>
    <s v="C1"/>
    <s v="SUV"/>
    <x v="11"/>
    <n v="-30"/>
  </r>
  <r>
    <x v="2"/>
    <s v="Exter"/>
    <x v="5"/>
    <n v="6908"/>
    <n v="84368"/>
    <s v="C1"/>
    <s v="SUV"/>
    <x v="11"/>
    <n v="-30"/>
  </r>
  <r>
    <x v="2"/>
    <s v="Exter"/>
    <x v="6"/>
    <n v="6037"/>
    <n v="84368"/>
    <s v="C1"/>
    <s v="SUV"/>
    <x v="11"/>
    <n v="-30"/>
  </r>
  <r>
    <x v="2"/>
    <s v="Exter"/>
    <x v="7"/>
    <n v="6632"/>
    <n v="84368"/>
    <s v="C1"/>
    <s v="SUV"/>
    <x v="11"/>
    <n v="-30"/>
  </r>
  <r>
    <x v="2"/>
    <s v="Exter"/>
    <x v="8"/>
    <n v="6908"/>
    <n v="84368"/>
    <s v="C1"/>
    <s v="SUV"/>
    <x v="11"/>
    <n v="-30"/>
  </r>
  <r>
    <x v="2"/>
    <s v="Exter"/>
    <x v="9"/>
    <n v="7127"/>
    <n v="84368"/>
    <s v="C1"/>
    <s v="SUV"/>
    <x v="11"/>
    <n v="-30"/>
  </r>
  <r>
    <x v="2"/>
    <s v="Exter"/>
    <x v="10"/>
    <n v="5747"/>
    <n v="84368"/>
    <s v="C1"/>
    <s v="SUV"/>
    <x v="11"/>
    <n v="-30"/>
  </r>
  <r>
    <x v="2"/>
    <s v="Exter"/>
    <x v="11"/>
    <n v="5270"/>
    <n v="84368"/>
    <s v="C1"/>
    <s v="SUV"/>
    <x v="11"/>
    <n v="-30"/>
  </r>
  <r>
    <x v="2"/>
    <s v="Grand i10 "/>
    <x v="0"/>
    <n v="6865"/>
    <n v="64020"/>
    <s v="B2"/>
    <s v="Hatchback"/>
    <x v="12"/>
    <n v="-14"/>
  </r>
  <r>
    <x v="2"/>
    <s v="Grand i10 "/>
    <x v="1"/>
    <n v="4947"/>
    <n v="64020"/>
    <s v="B2"/>
    <s v="Hatchback"/>
    <x v="12"/>
    <n v="-14"/>
  </r>
  <r>
    <x v="2"/>
    <s v="Grand i10 "/>
    <x v="2"/>
    <n v="5034"/>
    <n v="64020"/>
    <s v="B2"/>
    <s v="Hatchback"/>
    <x v="12"/>
    <n v="-14"/>
  </r>
  <r>
    <x v="2"/>
    <s v="Grand i10 "/>
    <x v="3"/>
    <n v="5117"/>
    <n v="64020"/>
    <s v="B2"/>
    <s v="Hatchback"/>
    <x v="12"/>
    <n v="-14"/>
  </r>
  <r>
    <x v="2"/>
    <s v="Grand i10 "/>
    <x v="4"/>
    <n v="5328"/>
    <n v="64020"/>
    <s v="B2"/>
    <s v="Hatchback"/>
    <x v="12"/>
    <n v="-14"/>
  </r>
  <r>
    <x v="2"/>
    <s v="Grand i10 "/>
    <x v="5"/>
    <n v="4948"/>
    <n v="64020"/>
    <s v="B2"/>
    <s v="Hatchback"/>
    <x v="12"/>
    <n v="-14"/>
  </r>
  <r>
    <x v="2"/>
    <s v="Grand i10 "/>
    <x v="6"/>
    <n v="4922"/>
    <n v="64020"/>
    <s v="B2"/>
    <s v="Hatchback"/>
    <x v="12"/>
    <n v="-14"/>
  </r>
  <r>
    <x v="2"/>
    <s v="Grand i10 "/>
    <x v="7"/>
    <n v="5365"/>
    <n v="64020"/>
    <s v="B2"/>
    <s v="Hatchback"/>
    <x v="12"/>
    <n v="-14"/>
  </r>
  <r>
    <x v="2"/>
    <s v="Grand i10 "/>
    <x v="8"/>
    <n v="5103"/>
    <n v="64020"/>
    <s v="B2"/>
    <s v="Hatchback"/>
    <x v="12"/>
    <n v="-14"/>
  </r>
  <r>
    <x v="2"/>
    <s v="Grand i10 "/>
    <x v="9"/>
    <n v="6235"/>
    <n v="64020"/>
    <s v="B2"/>
    <s v="Hatchback"/>
    <x v="12"/>
    <n v="-14"/>
  </r>
  <r>
    <x v="2"/>
    <s v="Grand i10 "/>
    <x v="10"/>
    <n v="5667"/>
    <n v="64020"/>
    <s v="B2"/>
    <s v="Hatchback"/>
    <x v="12"/>
    <n v="-14"/>
  </r>
  <r>
    <x v="2"/>
    <s v="Grand i10 "/>
    <x v="11"/>
    <n v="4489"/>
    <n v="64020"/>
    <s v="B2"/>
    <s v="Hatchback"/>
    <x v="12"/>
    <n v="-14"/>
  </r>
  <r>
    <x v="2"/>
    <s v="i20"/>
    <x v="0"/>
    <n v="7083"/>
    <n v="60762"/>
    <s v="B2"/>
    <s v="Hatchback"/>
    <x v="13"/>
    <n v="-25"/>
  </r>
  <r>
    <x v="2"/>
    <s v="i20"/>
    <x v="1"/>
    <n v="5131"/>
    <n v="60762"/>
    <s v="B2"/>
    <s v="Hatchback"/>
    <x v="13"/>
    <n v="-25"/>
  </r>
  <r>
    <x v="2"/>
    <s v="i20"/>
    <x v="2"/>
    <n v="5155"/>
    <n v="60762"/>
    <s v="B2"/>
    <s v="Hatchback"/>
    <x v="13"/>
    <n v="-25"/>
  </r>
  <r>
    <x v="2"/>
    <s v="i20"/>
    <x v="3"/>
    <n v="5899"/>
    <n v="60762"/>
    <s v="B2"/>
    <s v="Hatchback"/>
    <x v="13"/>
    <n v="-25"/>
  </r>
  <r>
    <x v="2"/>
    <s v="i20"/>
    <x v="4"/>
    <n v="5169"/>
    <n v="60762"/>
    <s v="B2"/>
    <s v="Hatchback"/>
    <x v="13"/>
    <n v="-25"/>
  </r>
  <r>
    <x v="2"/>
    <s v="i20"/>
    <x v="5"/>
    <n v="5315"/>
    <n v="60762"/>
    <s v="B2"/>
    <s v="Hatchback"/>
    <x v="13"/>
    <n v="-25"/>
  </r>
  <r>
    <x v="2"/>
    <s v="i20"/>
    <x v="6"/>
    <n v="4937"/>
    <n v="60762"/>
    <s v="B2"/>
    <s v="Hatchback"/>
    <x v="13"/>
    <n v="-25"/>
  </r>
  <r>
    <x v="2"/>
    <s v="i20"/>
    <x v="7"/>
    <n v="4913"/>
    <n v="60762"/>
    <s v="B2"/>
    <s v="Hatchback"/>
    <x v="13"/>
    <n v="-25"/>
  </r>
  <r>
    <x v="2"/>
    <s v="i20"/>
    <x v="8"/>
    <n v="4428"/>
    <n v="60762"/>
    <s v="B2"/>
    <s v="Hatchback"/>
    <x v="13"/>
    <n v="-25"/>
  </r>
  <r>
    <x v="2"/>
    <s v="i20"/>
    <x v="9"/>
    <n v="5354"/>
    <n v="60762"/>
    <s v="B2"/>
    <s v="Hatchback"/>
    <x v="13"/>
    <n v="-25"/>
  </r>
  <r>
    <x v="2"/>
    <s v="i20"/>
    <x v="10"/>
    <n v="3925"/>
    <n v="60762"/>
    <s v="B2"/>
    <s v="Hatchback"/>
    <x v="13"/>
    <n v="-25"/>
  </r>
  <r>
    <x v="2"/>
    <s v="i20"/>
    <x v="11"/>
    <n v="3453"/>
    <n v="60762"/>
    <s v="B2"/>
    <s v="Hatchback"/>
    <x v="13"/>
    <n v="-25"/>
  </r>
  <r>
    <x v="2"/>
    <s v="Ioniq 5"/>
    <x v="0"/>
    <n v="95"/>
    <n v="528"/>
    <s v="Premium"/>
    <s v="SUV"/>
    <x v="14"/>
    <n v="-70"/>
  </r>
  <r>
    <x v="2"/>
    <s v="Ioniq 5"/>
    <x v="1"/>
    <n v="66"/>
    <n v="528"/>
    <s v="Premium"/>
    <s v="SUV"/>
    <x v="14"/>
    <n v="-70"/>
  </r>
  <r>
    <x v="2"/>
    <s v="Ioniq 5"/>
    <x v="2"/>
    <n v="65"/>
    <n v="528"/>
    <s v="Premium"/>
    <s v="SUV"/>
    <x v="14"/>
    <n v="-70"/>
  </r>
  <r>
    <x v="2"/>
    <s v="Ioniq 5"/>
    <x v="3"/>
    <n v="45"/>
    <n v="528"/>
    <s v="Premium"/>
    <s v="SUV"/>
    <x v="14"/>
    <n v="-70"/>
  </r>
  <r>
    <x v="2"/>
    <s v="Ioniq 5"/>
    <x v="4"/>
    <n v="42"/>
    <n v="528"/>
    <s v="Premium"/>
    <s v="SUV"/>
    <x v="14"/>
    <n v="-70"/>
  </r>
  <r>
    <x v="2"/>
    <s v="Ioniq 5"/>
    <x v="5"/>
    <n v="30"/>
    <n v="528"/>
    <s v="Premium"/>
    <s v="SUV"/>
    <x v="14"/>
    <n v="-70"/>
  </r>
  <r>
    <x v="2"/>
    <s v="Ioniq 5"/>
    <x v="6"/>
    <n v="36"/>
    <n v="528"/>
    <s v="Premium"/>
    <s v="SUV"/>
    <x v="14"/>
    <n v="-70"/>
  </r>
  <r>
    <x v="2"/>
    <s v="Ioniq 5"/>
    <x v="7"/>
    <n v="40"/>
    <n v="528"/>
    <s v="Premium"/>
    <s v="SUV"/>
    <x v="14"/>
    <n v="-70"/>
  </r>
  <r>
    <x v="2"/>
    <s v="Ioniq 5"/>
    <x v="8"/>
    <n v="31"/>
    <n v="528"/>
    <s v="Premium"/>
    <s v="SUV"/>
    <x v="14"/>
    <n v="-70"/>
  </r>
  <r>
    <x v="2"/>
    <s v="Ioniq 5"/>
    <x v="9"/>
    <n v="32"/>
    <n v="528"/>
    <s v="Premium"/>
    <s v="SUV"/>
    <x v="14"/>
    <n v="-70"/>
  </r>
  <r>
    <x v="2"/>
    <s v="Ioniq 5"/>
    <x v="10"/>
    <n v="22"/>
    <n v="528"/>
    <s v="Premium"/>
    <s v="SUV"/>
    <x v="14"/>
    <n v="-70"/>
  </r>
  <r>
    <x v="2"/>
    <s v="Ioniq 5"/>
    <x v="11"/>
    <n v="24"/>
    <n v="528"/>
    <s v="Premium"/>
    <s v="SUV"/>
    <x v="14"/>
    <n v="-70"/>
  </r>
  <r>
    <x v="2"/>
    <s v="Kona"/>
    <x v="0"/>
    <n v="102"/>
    <n v="259"/>
    <s v="Premium"/>
    <s v="SUV"/>
    <x v="3"/>
    <n v="0"/>
  </r>
  <r>
    <x v="2"/>
    <s v="Kona"/>
    <x v="1"/>
    <n v="86"/>
    <n v="259"/>
    <s v="Premium"/>
    <s v="SUV"/>
    <x v="3"/>
    <n v="0"/>
  </r>
  <r>
    <x v="2"/>
    <s v="Kona"/>
    <x v="2"/>
    <n v="71"/>
    <n v="259"/>
    <s v="Premium"/>
    <s v="SUV"/>
    <x v="3"/>
    <n v="0"/>
  </r>
  <r>
    <x v="2"/>
    <s v="Kona"/>
    <x v="3"/>
    <n v="0"/>
    <n v="259"/>
    <s v="Premium"/>
    <s v="SUV"/>
    <x v="3"/>
    <n v="0"/>
  </r>
  <r>
    <x v="2"/>
    <s v="Kona"/>
    <x v="4"/>
    <n v="0"/>
    <n v="259"/>
    <s v="Premium"/>
    <s v="SUV"/>
    <x v="3"/>
    <n v="0"/>
  </r>
  <r>
    <x v="2"/>
    <s v="Kona"/>
    <x v="5"/>
    <n v="0"/>
    <n v="259"/>
    <s v="Premium"/>
    <s v="SUV"/>
    <x v="3"/>
    <n v="0"/>
  </r>
  <r>
    <x v="2"/>
    <s v="Kona"/>
    <x v="6"/>
    <n v="0"/>
    <n v="259"/>
    <s v="Premium"/>
    <s v="SUV"/>
    <x v="3"/>
    <n v="0"/>
  </r>
  <r>
    <x v="2"/>
    <s v="Kona"/>
    <x v="7"/>
    <n v="0"/>
    <n v="259"/>
    <s v="Premium"/>
    <s v="SUV"/>
    <x v="3"/>
    <n v="0"/>
  </r>
  <r>
    <x v="2"/>
    <s v="Kona"/>
    <x v="8"/>
    <n v="0"/>
    <n v="259"/>
    <s v="Premium"/>
    <s v="SUV"/>
    <x v="3"/>
    <n v="0"/>
  </r>
  <r>
    <x v="2"/>
    <s v="Kona"/>
    <x v="9"/>
    <n v="0"/>
    <n v="259"/>
    <s v="Premium"/>
    <s v="SUV"/>
    <x v="3"/>
    <n v="0"/>
  </r>
  <r>
    <x v="2"/>
    <s v="Kona"/>
    <x v="10"/>
    <n v="0"/>
    <n v="259"/>
    <s v="Premium"/>
    <s v="SUV"/>
    <x v="3"/>
    <n v="0"/>
  </r>
  <r>
    <x v="2"/>
    <s v="Kona"/>
    <x v="11"/>
    <n v="0"/>
    <n v="259"/>
    <s v="Premium"/>
    <s v="SUV"/>
    <x v="3"/>
    <n v="0"/>
  </r>
  <r>
    <x v="2"/>
    <s v="Tucson"/>
    <x v="0"/>
    <n v="183"/>
    <n v="1543"/>
    <s v="D2"/>
    <s v="SUV"/>
    <x v="15"/>
    <n v="-84"/>
  </r>
  <r>
    <x v="2"/>
    <s v="Tucson"/>
    <x v="1"/>
    <n v="157"/>
    <n v="1543"/>
    <s v="D2"/>
    <s v="SUV"/>
    <x v="15"/>
    <n v="-84"/>
  </r>
  <r>
    <x v="2"/>
    <s v="Tucson"/>
    <x v="2"/>
    <n v="110"/>
    <n v="1543"/>
    <s v="D2"/>
    <s v="SUV"/>
    <x v="15"/>
    <n v="-84"/>
  </r>
  <r>
    <x v="2"/>
    <s v="Tucson"/>
    <x v="3"/>
    <n v="201"/>
    <n v="1543"/>
    <s v="D2"/>
    <s v="SUV"/>
    <x v="15"/>
    <n v="-84"/>
  </r>
  <r>
    <x v="2"/>
    <s v="Tucson"/>
    <x v="4"/>
    <n v="168"/>
    <n v="1543"/>
    <s v="D2"/>
    <s v="SUV"/>
    <x v="15"/>
    <n v="-84"/>
  </r>
  <r>
    <x v="2"/>
    <s v="Tucson"/>
    <x v="5"/>
    <n v="114"/>
    <n v="1543"/>
    <s v="D2"/>
    <s v="SUV"/>
    <x v="15"/>
    <n v="-84"/>
  </r>
  <r>
    <x v="2"/>
    <s v="Tucson"/>
    <x v="6"/>
    <n v="129"/>
    <n v="1543"/>
    <s v="D2"/>
    <s v="SUV"/>
    <x v="15"/>
    <n v="-84"/>
  </r>
  <r>
    <x v="2"/>
    <s v="Tucson"/>
    <x v="7"/>
    <n v="125"/>
    <n v="1543"/>
    <s v="D2"/>
    <s v="SUV"/>
    <x v="15"/>
    <n v="-84"/>
  </r>
  <r>
    <x v="2"/>
    <s v="Tucson"/>
    <x v="8"/>
    <n v="98"/>
    <n v="1543"/>
    <s v="D2"/>
    <s v="SUV"/>
    <x v="15"/>
    <n v="-84"/>
  </r>
  <r>
    <x v="2"/>
    <s v="Tucson"/>
    <x v="9"/>
    <n v="141"/>
    <n v="1543"/>
    <s v="D2"/>
    <s v="SUV"/>
    <x v="15"/>
    <n v="-84"/>
  </r>
  <r>
    <x v="2"/>
    <s v="Tucson"/>
    <x v="10"/>
    <n v="84"/>
    <n v="1543"/>
    <s v="D2"/>
    <s v="SUV"/>
    <x v="15"/>
    <n v="-84"/>
  </r>
  <r>
    <x v="2"/>
    <s v="Tucson"/>
    <x v="11"/>
    <n v="33"/>
    <n v="1543"/>
    <s v="D2"/>
    <s v="SUV"/>
    <x v="15"/>
    <n v="-84"/>
  </r>
  <r>
    <x v="2"/>
    <s v="Venue"/>
    <x v="0"/>
    <n v="11831"/>
    <n v="117819"/>
    <s v="C1"/>
    <s v="SUV"/>
    <x v="16"/>
    <n v="-1"/>
  </r>
  <r>
    <x v="2"/>
    <s v="Venue"/>
    <x v="1"/>
    <n v="8933"/>
    <n v="117819"/>
    <s v="C1"/>
    <s v="SUV"/>
    <x v="16"/>
    <n v="-1"/>
  </r>
  <r>
    <x v="2"/>
    <s v="Venue"/>
    <x v="2"/>
    <n v="9614"/>
    <n v="117819"/>
    <s v="C1"/>
    <s v="SUV"/>
    <x v="16"/>
    <n v="-1"/>
  </r>
  <r>
    <x v="2"/>
    <s v="Venue"/>
    <x v="3"/>
    <n v="9120"/>
    <n v="117819"/>
    <s v="C1"/>
    <s v="SUV"/>
    <x v="16"/>
    <n v="-1"/>
  </r>
  <r>
    <x v="2"/>
    <s v="Venue"/>
    <x v="4"/>
    <n v="9327"/>
    <n v="117819"/>
    <s v="C1"/>
    <s v="SUV"/>
    <x v="16"/>
    <n v="-1"/>
  </r>
  <r>
    <x v="2"/>
    <s v="Venue"/>
    <x v="5"/>
    <n v="9890"/>
    <n v="117819"/>
    <s v="C1"/>
    <s v="SUV"/>
    <x v="16"/>
    <n v="-1"/>
  </r>
  <r>
    <x v="2"/>
    <s v="Venue"/>
    <x v="6"/>
    <n v="8840"/>
    <n v="117819"/>
    <s v="C1"/>
    <s v="SUV"/>
    <x v="16"/>
    <n v="-1"/>
  </r>
  <r>
    <x v="2"/>
    <s v="Venue"/>
    <x v="7"/>
    <n v="9085"/>
    <n v="117819"/>
    <s v="C1"/>
    <s v="SUV"/>
    <x v="16"/>
    <n v="-1"/>
  </r>
  <r>
    <x v="2"/>
    <s v="Venue"/>
    <x v="8"/>
    <n v="10259"/>
    <n v="117819"/>
    <s v="C1"/>
    <s v="SUV"/>
    <x v="16"/>
    <n v="-1"/>
  </r>
  <r>
    <x v="2"/>
    <s v="Venue"/>
    <x v="9"/>
    <n v="10901"/>
    <n v="117819"/>
    <s v="C1"/>
    <s v="SUV"/>
    <x v="16"/>
    <n v="-1"/>
  </r>
  <r>
    <x v="2"/>
    <s v="Venue"/>
    <x v="10"/>
    <n v="9754"/>
    <n v="117819"/>
    <s v="C1"/>
    <s v="SUV"/>
    <x v="16"/>
    <n v="-1"/>
  </r>
  <r>
    <x v="2"/>
    <s v="Venue"/>
    <x v="11"/>
    <n v="10265"/>
    <n v="117819"/>
    <s v="C1"/>
    <s v="SUV"/>
    <x v="16"/>
    <n v="-1"/>
  </r>
  <r>
    <x v="2"/>
    <s v="Verna"/>
    <x v="0"/>
    <n v="2172"/>
    <n v="17113"/>
    <s v="C2"/>
    <s v="Sedan"/>
    <x v="17"/>
    <n v="22"/>
  </r>
  <r>
    <x v="2"/>
    <s v="Verna"/>
    <x v="1"/>
    <n v="1680"/>
    <n v="17113"/>
    <s v="C2"/>
    <s v="Sedan"/>
    <x v="17"/>
    <n v="22"/>
  </r>
  <r>
    <x v="2"/>
    <s v="Verna"/>
    <x v="2"/>
    <n v="1716"/>
    <n v="17113"/>
    <s v="C2"/>
    <s v="Sedan"/>
    <x v="17"/>
    <n v="22"/>
  </r>
  <r>
    <x v="2"/>
    <s v="Verna"/>
    <x v="3"/>
    <n v="1571"/>
    <n v="17113"/>
    <s v="C2"/>
    <s v="Sedan"/>
    <x v="17"/>
    <n v="22"/>
  </r>
  <r>
    <x v="2"/>
    <s v="Verna"/>
    <x v="4"/>
    <n v="1381"/>
    <n v="17113"/>
    <s v="C2"/>
    <s v="Sedan"/>
    <x v="17"/>
    <n v="22"/>
  </r>
  <r>
    <x v="2"/>
    <s v="Verna"/>
    <x v="5"/>
    <n v="1424"/>
    <n v="17113"/>
    <s v="C2"/>
    <s v="Sedan"/>
    <x v="17"/>
    <n v="22"/>
  </r>
  <r>
    <x v="2"/>
    <s v="Verna"/>
    <x v="6"/>
    <n v="1420"/>
    <n v="17113"/>
    <s v="C2"/>
    <s v="Sedan"/>
    <x v="17"/>
    <n v="22"/>
  </r>
  <r>
    <x v="2"/>
    <s v="Verna"/>
    <x v="7"/>
    <n v="1194"/>
    <n v="17113"/>
    <s v="C2"/>
    <s v="Sedan"/>
    <x v="17"/>
    <n v="22"/>
  </r>
  <r>
    <x v="2"/>
    <s v="Verna"/>
    <x v="8"/>
    <n v="1198"/>
    <n v="17113"/>
    <s v="C2"/>
    <s v="Sedan"/>
    <x v="17"/>
    <n v="22"/>
  </r>
  <r>
    <x v="2"/>
    <s v="Verna"/>
    <x v="9"/>
    <n v="1272"/>
    <n v="17113"/>
    <s v="C2"/>
    <s v="Sedan"/>
    <x v="17"/>
    <n v="22"/>
  </r>
  <r>
    <x v="2"/>
    <s v="Verna"/>
    <x v="10"/>
    <n v="1213"/>
    <n v="17113"/>
    <s v="C2"/>
    <s v="Sedan"/>
    <x v="17"/>
    <n v="22"/>
  </r>
  <r>
    <x v="2"/>
    <s v="Verna"/>
    <x v="11"/>
    <n v="872"/>
    <n v="17113"/>
    <s v="C2"/>
    <s v="Sedan"/>
    <x v="17"/>
    <n v="22"/>
  </r>
  <r>
    <x v="3"/>
    <s v="Compass"/>
    <x v="0"/>
    <n v="286"/>
    <n v="2988"/>
    <s v="D1"/>
    <s v="SUV"/>
    <x v="18"/>
    <n v="-29"/>
  </r>
  <r>
    <x v="3"/>
    <s v="Compass"/>
    <x v="1"/>
    <n v="204"/>
    <n v="2988"/>
    <s v="D1"/>
    <s v="SUV"/>
    <x v="18"/>
    <n v="-29"/>
  </r>
  <r>
    <x v="3"/>
    <s v="Compass"/>
    <x v="2"/>
    <n v="329"/>
    <n v="2988"/>
    <s v="D1"/>
    <s v="SUV"/>
    <x v="18"/>
    <n v="-29"/>
  </r>
  <r>
    <x v="3"/>
    <s v="Compass"/>
    <x v="3"/>
    <n v="282"/>
    <n v="2988"/>
    <s v="D1"/>
    <s v="SUV"/>
    <x v="18"/>
    <n v="-29"/>
  </r>
  <r>
    <x v="3"/>
    <s v="Compass"/>
    <x v="4"/>
    <n v="269"/>
    <n v="2988"/>
    <s v="D1"/>
    <s v="SUV"/>
    <x v="18"/>
    <n v="-29"/>
  </r>
  <r>
    <x v="3"/>
    <s v="Compass"/>
    <x v="5"/>
    <n v="216"/>
    <n v="2988"/>
    <s v="D1"/>
    <s v="SUV"/>
    <x v="18"/>
    <n v="-29"/>
  </r>
  <r>
    <x v="3"/>
    <s v="Compass"/>
    <x v="6"/>
    <n v="213"/>
    <n v="2988"/>
    <s v="D1"/>
    <s v="SUV"/>
    <x v="18"/>
    <n v="-29"/>
  </r>
  <r>
    <x v="3"/>
    <s v="Compass"/>
    <x v="7"/>
    <n v="280"/>
    <n v="2988"/>
    <s v="D1"/>
    <s v="SUV"/>
    <x v="18"/>
    <n v="-29"/>
  </r>
  <r>
    <x v="3"/>
    <s v="Compass"/>
    <x v="8"/>
    <n v="310"/>
    <n v="2988"/>
    <s v="D1"/>
    <s v="SUV"/>
    <x v="18"/>
    <n v="-29"/>
  </r>
  <r>
    <x v="3"/>
    <s v="Compass"/>
    <x v="9"/>
    <n v="236"/>
    <n v="2988"/>
    <s v="D1"/>
    <s v="SUV"/>
    <x v="18"/>
    <n v="-29"/>
  </r>
  <r>
    <x v="3"/>
    <s v="Compass"/>
    <x v="10"/>
    <n v="188"/>
    <n v="2988"/>
    <s v="D1"/>
    <s v="SUV"/>
    <x v="18"/>
    <n v="-29"/>
  </r>
  <r>
    <x v="3"/>
    <s v="Compass"/>
    <x v="11"/>
    <n v="175"/>
    <n v="2988"/>
    <s v="D1"/>
    <s v="SUV"/>
    <x v="18"/>
    <n v="-29"/>
  </r>
  <r>
    <x v="3"/>
    <s v="Meridian"/>
    <x v="0"/>
    <n v="110"/>
    <n v="1218"/>
    <s v="D2"/>
    <s v="SUV"/>
    <x v="19"/>
    <n v="-42"/>
  </r>
  <r>
    <x v="3"/>
    <s v="Meridian"/>
    <x v="1"/>
    <n v="127"/>
    <n v="1218"/>
    <s v="D2"/>
    <s v="SUV"/>
    <x v="19"/>
    <n v="-42"/>
  </r>
  <r>
    <x v="3"/>
    <s v="Meridian"/>
    <x v="2"/>
    <n v="96"/>
    <n v="1218"/>
    <s v="D2"/>
    <s v="SUV"/>
    <x v="19"/>
    <n v="-42"/>
  </r>
  <r>
    <x v="3"/>
    <s v="Meridian"/>
    <x v="3"/>
    <n v="95"/>
    <n v="1218"/>
    <s v="D2"/>
    <s v="SUV"/>
    <x v="19"/>
    <n v="-42"/>
  </r>
  <r>
    <x v="3"/>
    <s v="Meridian"/>
    <x v="4"/>
    <n v="75"/>
    <n v="1218"/>
    <s v="D2"/>
    <s v="SUV"/>
    <x v="19"/>
    <n v="-42"/>
  </r>
  <r>
    <x v="3"/>
    <s v="Meridian"/>
    <x v="5"/>
    <n v="65"/>
    <n v="1218"/>
    <s v="D2"/>
    <s v="SUV"/>
    <x v="19"/>
    <n v="-42"/>
  </r>
  <r>
    <x v="3"/>
    <s v="Meridian"/>
    <x v="6"/>
    <n v="63"/>
    <n v="1218"/>
    <s v="D2"/>
    <s v="SUV"/>
    <x v="19"/>
    <n v="-42"/>
  </r>
  <r>
    <x v="3"/>
    <s v="Meridian"/>
    <x v="7"/>
    <n v="60"/>
    <n v="1218"/>
    <s v="D2"/>
    <s v="SUV"/>
    <x v="19"/>
    <n v="-42"/>
  </r>
  <r>
    <x v="3"/>
    <s v="Meridian"/>
    <x v="8"/>
    <n v="55"/>
    <n v="1218"/>
    <s v="D2"/>
    <s v="SUV"/>
    <x v="19"/>
    <n v="-42"/>
  </r>
  <r>
    <x v="3"/>
    <s v="Meridian"/>
    <x v="9"/>
    <n v="188"/>
    <n v="1218"/>
    <s v="D2"/>
    <s v="SUV"/>
    <x v="19"/>
    <n v="-42"/>
  </r>
  <r>
    <x v="3"/>
    <s v="Meridian"/>
    <x v="10"/>
    <n v="173"/>
    <n v="1218"/>
    <s v="D2"/>
    <s v="SUV"/>
    <x v="19"/>
    <n v="-42"/>
  </r>
  <r>
    <x v="3"/>
    <s v="Meridian"/>
    <x v="11"/>
    <n v="111"/>
    <n v="1218"/>
    <s v="D2"/>
    <s v="SUV"/>
    <x v="19"/>
    <n v="-42"/>
  </r>
  <r>
    <x v="3"/>
    <s v="Wrangler"/>
    <x v="0"/>
    <n v="0"/>
    <n v="0"/>
    <s v="Premium"/>
    <s v="SUV"/>
    <x v="3"/>
    <n v="0"/>
  </r>
  <r>
    <x v="3"/>
    <s v="Wrangler"/>
    <x v="1"/>
    <n v="0"/>
    <n v="0"/>
    <s v="Premium"/>
    <s v="SUV"/>
    <x v="3"/>
    <n v="0"/>
  </r>
  <r>
    <x v="3"/>
    <s v="Wrangler"/>
    <x v="2"/>
    <n v="0"/>
    <n v="0"/>
    <s v="Premium"/>
    <s v="SUV"/>
    <x v="3"/>
    <n v="0"/>
  </r>
  <r>
    <x v="3"/>
    <s v="Wrangler"/>
    <x v="3"/>
    <n v="0"/>
    <n v="0"/>
    <s v="Premium"/>
    <s v="SUV"/>
    <x v="3"/>
    <n v="0"/>
  </r>
  <r>
    <x v="3"/>
    <s v="Wrangler"/>
    <x v="4"/>
    <n v="0"/>
    <n v="0"/>
    <s v="Premium"/>
    <s v="SUV"/>
    <x v="3"/>
    <n v="0"/>
  </r>
  <r>
    <x v="3"/>
    <s v="Wrangler"/>
    <x v="5"/>
    <n v="0"/>
    <n v="0"/>
    <s v="Premium"/>
    <s v="SUV"/>
    <x v="3"/>
    <n v="0"/>
  </r>
  <r>
    <x v="3"/>
    <s v="Wrangler"/>
    <x v="6"/>
    <n v="0"/>
    <n v="0"/>
    <s v="Premium"/>
    <s v="SUV"/>
    <x v="3"/>
    <n v="0"/>
  </r>
  <r>
    <x v="3"/>
    <s v="Wrangler"/>
    <x v="7"/>
    <n v="0"/>
    <n v="0"/>
    <s v="Premium"/>
    <s v="SUV"/>
    <x v="3"/>
    <n v="0"/>
  </r>
  <r>
    <x v="3"/>
    <s v="Wrangler"/>
    <x v="8"/>
    <n v="0"/>
    <n v="0"/>
    <s v="Premium"/>
    <s v="SUV"/>
    <x v="3"/>
    <n v="0"/>
  </r>
  <r>
    <x v="3"/>
    <s v="Wrangler"/>
    <x v="9"/>
    <n v="0"/>
    <n v="0"/>
    <s v="Premium"/>
    <s v="SUV"/>
    <x v="3"/>
    <n v="0"/>
  </r>
  <r>
    <x v="3"/>
    <s v="Wrangler"/>
    <x v="10"/>
    <n v="0"/>
    <n v="0"/>
    <s v="Premium"/>
    <s v="SUV"/>
    <x v="3"/>
    <n v="0"/>
  </r>
  <r>
    <x v="3"/>
    <s v="Wrangler"/>
    <x v="11"/>
    <n v="0"/>
    <n v="0"/>
    <s v="Premium"/>
    <s v="SUV"/>
    <x v="3"/>
    <n v="0"/>
  </r>
  <r>
    <x v="4"/>
    <s v="Carens"/>
    <x v="0"/>
    <n v="5848"/>
    <n v="63674"/>
    <s v="Utility"/>
    <s v="MUV"/>
    <x v="20"/>
    <n v="2"/>
  </r>
  <r>
    <x v="4"/>
    <s v="Carens"/>
    <x v="1"/>
    <n v="4832"/>
    <n v="63674"/>
    <s v="Utility"/>
    <s v="MUV"/>
    <x v="20"/>
    <n v="2"/>
  </r>
  <r>
    <x v="4"/>
    <s v="Carens"/>
    <x v="2"/>
    <n v="4737"/>
    <n v="63674"/>
    <s v="Utility"/>
    <s v="MUV"/>
    <x v="20"/>
    <n v="2"/>
  </r>
  <r>
    <x v="4"/>
    <s v="Carens"/>
    <x v="3"/>
    <n v="5328"/>
    <n v="63674"/>
    <s v="Utility"/>
    <s v="MUV"/>
    <x v="20"/>
    <n v="2"/>
  </r>
  <r>
    <x v="4"/>
    <s v="Carens"/>
    <x v="4"/>
    <n v="5316"/>
    <n v="63674"/>
    <s v="Utility"/>
    <s v="MUV"/>
    <x v="20"/>
    <n v="2"/>
  </r>
  <r>
    <x v="4"/>
    <s v="Carens"/>
    <x v="5"/>
    <n v="5154"/>
    <n v="63674"/>
    <s v="Utility"/>
    <s v="MUV"/>
    <x v="20"/>
    <n v="2"/>
  </r>
  <r>
    <x v="4"/>
    <s v="Carens"/>
    <x v="6"/>
    <n v="5679"/>
    <n v="63674"/>
    <s v="Utility"/>
    <s v="MUV"/>
    <x v="20"/>
    <n v="2"/>
  </r>
  <r>
    <x v="4"/>
    <s v="Carens"/>
    <x v="7"/>
    <n v="5881"/>
    <n v="63674"/>
    <s v="Utility"/>
    <s v="MUV"/>
    <x v="20"/>
    <n v="2"/>
  </r>
  <r>
    <x v="4"/>
    <s v="Carens"/>
    <x v="8"/>
    <n v="6217"/>
    <n v="63674"/>
    <s v="Utility"/>
    <s v="MUV"/>
    <x v="20"/>
    <n v="2"/>
  </r>
  <r>
    <x v="4"/>
    <s v="Carens"/>
    <x v="9"/>
    <n v="6384"/>
    <n v="63674"/>
    <s v="Utility"/>
    <s v="MUV"/>
    <x v="20"/>
    <n v="2"/>
  </r>
  <r>
    <x v="4"/>
    <s v="Carens"/>
    <x v="10"/>
    <n v="5672"/>
    <n v="63674"/>
    <s v="Utility"/>
    <s v="MUV"/>
    <x v="20"/>
    <n v="2"/>
  </r>
  <r>
    <x v="4"/>
    <s v="Carens"/>
    <x v="11"/>
    <n v="2626"/>
    <n v="63674"/>
    <s v="Utility"/>
    <s v="MUV"/>
    <x v="20"/>
    <n v="2"/>
  </r>
  <r>
    <x v="4"/>
    <s v="Carnival"/>
    <x v="0"/>
    <n v="0"/>
    <n v="599"/>
    <s v="D2"/>
    <s v="MUV"/>
    <x v="21"/>
    <n v="0"/>
  </r>
  <r>
    <x v="4"/>
    <s v="Carnival"/>
    <x v="1"/>
    <n v="0"/>
    <n v="599"/>
    <s v="D2"/>
    <s v="MUV"/>
    <x v="21"/>
    <n v="0"/>
  </r>
  <r>
    <x v="4"/>
    <s v="Carnival"/>
    <x v="2"/>
    <n v="0"/>
    <n v="599"/>
    <s v="D2"/>
    <s v="MUV"/>
    <x v="21"/>
    <n v="0"/>
  </r>
  <r>
    <x v="4"/>
    <s v="Carnival"/>
    <x v="3"/>
    <n v="0"/>
    <n v="599"/>
    <s v="D2"/>
    <s v="MUV"/>
    <x v="21"/>
    <n v="0"/>
  </r>
  <r>
    <x v="4"/>
    <s v="Carnival"/>
    <x v="4"/>
    <n v="0"/>
    <n v="599"/>
    <s v="D2"/>
    <s v="MUV"/>
    <x v="21"/>
    <n v="0"/>
  </r>
  <r>
    <x v="4"/>
    <s v="Carnival"/>
    <x v="5"/>
    <n v="0"/>
    <n v="599"/>
    <s v="D2"/>
    <s v="MUV"/>
    <x v="21"/>
    <n v="0"/>
  </r>
  <r>
    <x v="4"/>
    <s v="Carnival"/>
    <x v="6"/>
    <n v="0"/>
    <n v="599"/>
    <s v="D2"/>
    <s v="MUV"/>
    <x v="21"/>
    <n v="0"/>
  </r>
  <r>
    <x v="4"/>
    <s v="Carnival"/>
    <x v="7"/>
    <n v="0"/>
    <n v="599"/>
    <s v="D2"/>
    <s v="MUV"/>
    <x v="21"/>
    <n v="0"/>
  </r>
  <r>
    <x v="4"/>
    <s v="Carnival"/>
    <x v="8"/>
    <n v="0"/>
    <n v="599"/>
    <s v="D2"/>
    <s v="MUV"/>
    <x v="21"/>
    <n v="0"/>
  </r>
  <r>
    <x v="4"/>
    <s v="Carnival"/>
    <x v="9"/>
    <n v="255"/>
    <n v="599"/>
    <s v="D2"/>
    <s v="MUV"/>
    <x v="21"/>
    <n v="0"/>
  </r>
  <r>
    <x v="4"/>
    <s v="Carnival"/>
    <x v="10"/>
    <n v="241"/>
    <n v="599"/>
    <s v="D2"/>
    <s v="MUV"/>
    <x v="21"/>
    <n v="0"/>
  </r>
  <r>
    <x v="4"/>
    <s v="Carnival"/>
    <x v="11"/>
    <n v="103"/>
    <n v="599"/>
    <s v="D2"/>
    <s v="MUV"/>
    <x v="21"/>
    <n v="0"/>
  </r>
  <r>
    <x v="4"/>
    <s v="EV6"/>
    <x v="0"/>
    <n v="0"/>
    <n v="292"/>
    <s v="Premium"/>
    <s v="SUV"/>
    <x v="22"/>
    <n v="917"/>
  </r>
  <r>
    <x v="4"/>
    <s v="EV6"/>
    <x v="1"/>
    <n v="1"/>
    <n v="292"/>
    <s v="Premium"/>
    <s v="SUV"/>
    <x v="22"/>
    <n v="917"/>
  </r>
  <r>
    <x v="4"/>
    <s v="EV6"/>
    <x v="2"/>
    <n v="1"/>
    <n v="292"/>
    <s v="Premium"/>
    <s v="SUV"/>
    <x v="22"/>
    <n v="917"/>
  </r>
  <r>
    <x v="4"/>
    <s v="EV6"/>
    <x v="3"/>
    <n v="5"/>
    <n v="292"/>
    <s v="Premium"/>
    <s v="SUV"/>
    <x v="22"/>
    <n v="917"/>
  </r>
  <r>
    <x v="4"/>
    <s v="EV6"/>
    <x v="4"/>
    <n v="15"/>
    <n v="292"/>
    <s v="Premium"/>
    <s v="SUV"/>
    <x v="22"/>
    <n v="917"/>
  </r>
  <r>
    <x v="4"/>
    <s v="EV6"/>
    <x v="5"/>
    <n v="24"/>
    <n v="292"/>
    <s v="Premium"/>
    <s v="SUV"/>
    <x v="22"/>
    <n v="917"/>
  </r>
  <r>
    <x v="4"/>
    <s v="EV6"/>
    <x v="6"/>
    <n v="22"/>
    <n v="292"/>
    <s v="Premium"/>
    <s v="SUV"/>
    <x v="22"/>
    <n v="917"/>
  </r>
  <r>
    <x v="4"/>
    <s v="EV6"/>
    <x v="7"/>
    <n v="33"/>
    <n v="292"/>
    <s v="Premium"/>
    <s v="SUV"/>
    <x v="22"/>
    <n v="917"/>
  </r>
  <r>
    <x v="4"/>
    <s v="EV6"/>
    <x v="8"/>
    <n v="12"/>
    <n v="292"/>
    <s v="Premium"/>
    <s v="SUV"/>
    <x v="22"/>
    <n v="917"/>
  </r>
  <r>
    <x v="4"/>
    <s v="EV6"/>
    <x v="9"/>
    <n v="50"/>
    <n v="292"/>
    <s v="Premium"/>
    <s v="SUV"/>
    <x v="22"/>
    <n v="917"/>
  </r>
  <r>
    <x v="4"/>
    <s v="EV6"/>
    <x v="10"/>
    <n v="68"/>
    <n v="292"/>
    <s v="Premium"/>
    <s v="SUV"/>
    <x v="22"/>
    <n v="917"/>
  </r>
  <r>
    <x v="4"/>
    <s v="EV6"/>
    <x v="11"/>
    <n v="61"/>
    <n v="292"/>
    <s v="Premium"/>
    <s v="SUV"/>
    <x v="22"/>
    <n v="917"/>
  </r>
  <r>
    <x v="4"/>
    <s v="Seltos"/>
    <x v="0"/>
    <n v="6391"/>
    <n v="73745"/>
    <s v="C2"/>
    <s v="SUV"/>
    <x v="23"/>
    <n v="-72"/>
  </r>
  <r>
    <x v="4"/>
    <s v="Seltos"/>
    <x v="1"/>
    <n v="6265"/>
    <n v="73745"/>
    <s v="C2"/>
    <s v="SUV"/>
    <x v="23"/>
    <n v="-72"/>
  </r>
  <r>
    <x v="4"/>
    <s v="Seltos"/>
    <x v="2"/>
    <n v="7912"/>
    <n v="73745"/>
    <s v="C2"/>
    <s v="SUV"/>
    <x v="23"/>
    <n v="-72"/>
  </r>
  <r>
    <x v="4"/>
    <s v="Seltos"/>
    <x v="3"/>
    <n v="6734"/>
    <n v="73745"/>
    <s v="C2"/>
    <s v="SUV"/>
    <x v="23"/>
    <n v="-72"/>
  </r>
  <r>
    <x v="4"/>
    <s v="Seltos"/>
    <x v="4"/>
    <n v="6736"/>
    <n v="73745"/>
    <s v="C2"/>
    <s v="SUV"/>
    <x v="23"/>
    <n v="-72"/>
  </r>
  <r>
    <x v="4"/>
    <s v="Seltos"/>
    <x v="5"/>
    <n v="6306"/>
    <n v="73745"/>
    <s v="C2"/>
    <s v="SUV"/>
    <x v="23"/>
    <n v="-72"/>
  </r>
  <r>
    <x v="4"/>
    <s v="Seltos"/>
    <x v="6"/>
    <n v="5347"/>
    <n v="73745"/>
    <s v="C2"/>
    <s v="SUV"/>
    <x v="23"/>
    <n v="-72"/>
  </r>
  <r>
    <x v="4"/>
    <s v="Seltos"/>
    <x v="7"/>
    <n v="6536"/>
    <n v="73745"/>
    <s v="C2"/>
    <s v="SUV"/>
    <x v="23"/>
    <n v="-72"/>
  </r>
  <r>
    <x v="4"/>
    <s v="Seltos"/>
    <x v="8"/>
    <n v="6959"/>
    <n v="73745"/>
    <s v="C2"/>
    <s v="SUV"/>
    <x v="23"/>
    <n v="-72"/>
  </r>
  <r>
    <x v="4"/>
    <s v="Seltos"/>
    <x v="9"/>
    <n v="6365"/>
    <n v="73745"/>
    <s v="C2"/>
    <s v="SUV"/>
    <x v="23"/>
    <n v="-72"/>
  </r>
  <r>
    <x v="4"/>
    <s v="Seltos"/>
    <x v="10"/>
    <n v="5364"/>
    <n v="73745"/>
    <s v="C2"/>
    <s v="SUV"/>
    <x v="23"/>
    <n v="-72"/>
  </r>
  <r>
    <x v="4"/>
    <s v="Seltos"/>
    <x v="11"/>
    <n v="2830"/>
    <n v="73745"/>
    <s v="C2"/>
    <s v="SUV"/>
    <x v="23"/>
    <n v="-72"/>
  </r>
  <r>
    <x v="4"/>
    <s v="Sonet"/>
    <x v="0"/>
    <n v="11530"/>
    <n v="106690"/>
    <s v="C1"/>
    <s v="SUV"/>
    <x v="24"/>
    <n v="33270"/>
  </r>
  <r>
    <x v="4"/>
    <s v="Sonet"/>
    <x v="1"/>
    <n v="9102"/>
    <n v="106690"/>
    <s v="C1"/>
    <s v="SUV"/>
    <x v="24"/>
    <n v="33270"/>
  </r>
  <r>
    <x v="4"/>
    <s v="Sonet"/>
    <x v="2"/>
    <n v="8750"/>
    <n v="106690"/>
    <s v="C1"/>
    <s v="SUV"/>
    <x v="24"/>
    <n v="33270"/>
  </r>
  <r>
    <x v="4"/>
    <s v="Sonet"/>
    <x v="3"/>
    <n v="7901"/>
    <n v="106690"/>
    <s v="C1"/>
    <s v="SUV"/>
    <x v="24"/>
    <n v="33270"/>
  </r>
  <r>
    <x v="4"/>
    <s v="Sonet"/>
    <x v="4"/>
    <n v="7433"/>
    <n v="106690"/>
    <s v="C1"/>
    <s v="SUV"/>
    <x v="24"/>
    <n v="33270"/>
  </r>
  <r>
    <x v="4"/>
    <s v="Sonet"/>
    <x v="5"/>
    <n v="9816"/>
    <n v="106690"/>
    <s v="C1"/>
    <s v="SUV"/>
    <x v="24"/>
    <n v="33270"/>
  </r>
  <r>
    <x v="4"/>
    <s v="Sonet"/>
    <x v="6"/>
    <n v="9459"/>
    <n v="106690"/>
    <s v="C1"/>
    <s v="SUV"/>
    <x v="24"/>
    <n v="33270"/>
  </r>
  <r>
    <x v="4"/>
    <s v="Sonet"/>
    <x v="7"/>
    <n v="10073"/>
    <n v="106690"/>
    <s v="C1"/>
    <s v="SUV"/>
    <x v="24"/>
    <n v="33270"/>
  </r>
  <r>
    <x v="4"/>
    <s v="Sonet"/>
    <x v="8"/>
    <n v="10335"/>
    <n v="106690"/>
    <s v="C1"/>
    <s v="SUV"/>
    <x v="24"/>
    <n v="33270"/>
  </r>
  <r>
    <x v="4"/>
    <s v="Sonet"/>
    <x v="9"/>
    <n v="9699"/>
    <n v="106690"/>
    <s v="C1"/>
    <s v="SUV"/>
    <x v="24"/>
    <n v="33270"/>
  </r>
  <r>
    <x v="4"/>
    <s v="Sonet"/>
    <x v="10"/>
    <n v="9255"/>
    <n v="106690"/>
    <s v="C1"/>
    <s v="SUV"/>
    <x v="24"/>
    <n v="33270"/>
  </r>
  <r>
    <x v="4"/>
    <s v="Sonet"/>
    <x v="11"/>
    <n v="3337"/>
    <n v="106690"/>
    <s v="C1"/>
    <s v="SUV"/>
    <x v="24"/>
    <n v="33270"/>
  </r>
  <r>
    <x v="5"/>
    <s v="Bolero"/>
    <x v="0"/>
    <n v="9964"/>
    <n v="99771"/>
    <s v="Utility"/>
    <s v="MUV"/>
    <x v="25"/>
    <n v="-26"/>
  </r>
  <r>
    <x v="5"/>
    <s v="Bolero"/>
    <x v="1"/>
    <n v="10113"/>
    <n v="99771"/>
    <s v="Utility"/>
    <s v="MUV"/>
    <x v="25"/>
    <n v="-26"/>
  </r>
  <r>
    <x v="5"/>
    <s v="Bolero"/>
    <x v="2"/>
    <n v="10347"/>
    <n v="99771"/>
    <s v="Utility"/>
    <s v="MUV"/>
    <x v="25"/>
    <n v="-26"/>
  </r>
  <r>
    <x v="5"/>
    <s v="Bolero"/>
    <x v="3"/>
    <n v="9537"/>
    <n v="99771"/>
    <s v="Utility"/>
    <s v="MUV"/>
    <x v="25"/>
    <n v="-26"/>
  </r>
  <r>
    <x v="5"/>
    <s v="Bolero"/>
    <x v="4"/>
    <n v="8026"/>
    <n v="99771"/>
    <s v="Utility"/>
    <s v="MUV"/>
    <x v="25"/>
    <n v="-26"/>
  </r>
  <r>
    <x v="5"/>
    <s v="Bolero"/>
    <x v="5"/>
    <n v="7365"/>
    <n v="99771"/>
    <s v="Utility"/>
    <s v="MUV"/>
    <x v="25"/>
    <n v="-26"/>
  </r>
  <r>
    <x v="5"/>
    <s v="Bolero"/>
    <x v="6"/>
    <n v="6930"/>
    <n v="99771"/>
    <s v="Utility"/>
    <s v="MUV"/>
    <x v="25"/>
    <n v="-26"/>
  </r>
  <r>
    <x v="5"/>
    <s v="Bolero"/>
    <x v="7"/>
    <n v="6494"/>
    <n v="99771"/>
    <s v="Utility"/>
    <s v="MUV"/>
    <x v="25"/>
    <n v="-26"/>
  </r>
  <r>
    <x v="5"/>
    <s v="Bolero"/>
    <x v="8"/>
    <n v="8180"/>
    <n v="99771"/>
    <s v="Utility"/>
    <s v="MUV"/>
    <x v="25"/>
    <n v="-26"/>
  </r>
  <r>
    <x v="5"/>
    <s v="Bolero"/>
    <x v="9"/>
    <n v="9849"/>
    <n v="99771"/>
    <s v="Utility"/>
    <s v="MUV"/>
    <x v="25"/>
    <n v="-26"/>
  </r>
  <r>
    <x v="5"/>
    <s v="Bolero"/>
    <x v="10"/>
    <n v="7045"/>
    <n v="99771"/>
    <s v="Utility"/>
    <s v="MUV"/>
    <x v="25"/>
    <n v="-26"/>
  </r>
  <r>
    <x v="5"/>
    <s v="Bolero"/>
    <x v="11"/>
    <n v="5921"/>
    <n v="99771"/>
    <s v="Utility"/>
    <s v="MUV"/>
    <x v="25"/>
    <n v="-26"/>
  </r>
  <r>
    <x v="5"/>
    <s v="Marazzo"/>
    <x v="0"/>
    <n v="32"/>
    <n v="273"/>
    <s v="Utility"/>
    <s v="MUV"/>
    <x v="26"/>
    <n v="-74"/>
  </r>
  <r>
    <x v="5"/>
    <s v="Marazzo"/>
    <x v="1"/>
    <n v="51"/>
    <n v="273"/>
    <s v="Utility"/>
    <s v="MUV"/>
    <x v="26"/>
    <n v="-74"/>
  </r>
  <r>
    <x v="5"/>
    <s v="Marazzo"/>
    <x v="2"/>
    <n v="51"/>
    <n v="273"/>
    <s v="Utility"/>
    <s v="MUV"/>
    <x v="26"/>
    <n v="-74"/>
  </r>
  <r>
    <x v="5"/>
    <s v="Marazzo"/>
    <x v="3"/>
    <n v="20"/>
    <n v="273"/>
    <s v="Utility"/>
    <s v="MUV"/>
    <x v="26"/>
    <n v="-74"/>
  </r>
  <r>
    <x v="5"/>
    <s v="Marazzo"/>
    <x v="4"/>
    <n v="16"/>
    <n v="273"/>
    <s v="Utility"/>
    <s v="MUV"/>
    <x v="26"/>
    <n v="-74"/>
  </r>
  <r>
    <x v="5"/>
    <s v="Marazzo"/>
    <x v="5"/>
    <n v="12"/>
    <n v="273"/>
    <s v="Utility"/>
    <s v="MUV"/>
    <x v="26"/>
    <n v="-74"/>
  </r>
  <r>
    <x v="5"/>
    <s v="Marazzo"/>
    <x v="6"/>
    <n v="14"/>
    <n v="273"/>
    <s v="Utility"/>
    <s v="MUV"/>
    <x v="26"/>
    <n v="-74"/>
  </r>
  <r>
    <x v="5"/>
    <s v="Marazzo"/>
    <x v="7"/>
    <n v="8"/>
    <n v="273"/>
    <s v="Utility"/>
    <s v="MUV"/>
    <x v="26"/>
    <n v="-74"/>
  </r>
  <r>
    <x v="5"/>
    <s v="Marazzo"/>
    <x v="8"/>
    <n v="7"/>
    <n v="273"/>
    <s v="Utility"/>
    <s v="MUV"/>
    <x v="26"/>
    <n v="-74"/>
  </r>
  <r>
    <x v="5"/>
    <s v="Marazzo"/>
    <x v="9"/>
    <n v="37"/>
    <n v="273"/>
    <s v="Utility"/>
    <s v="MUV"/>
    <x v="26"/>
    <n v="-74"/>
  </r>
  <r>
    <x v="5"/>
    <s v="Marazzo"/>
    <x v="10"/>
    <n v="9"/>
    <n v="273"/>
    <s v="Utility"/>
    <s v="MUV"/>
    <x v="26"/>
    <n v="-74"/>
  </r>
  <r>
    <x v="5"/>
    <s v="Marazzo"/>
    <x v="11"/>
    <n v="16"/>
    <n v="273"/>
    <s v="Utility"/>
    <s v="MUV"/>
    <x v="26"/>
    <n v="-74"/>
  </r>
  <r>
    <x v="5"/>
    <s v="Scorpio"/>
    <x v="0"/>
    <n v="14293"/>
    <n v="166364"/>
    <s v="C2"/>
    <s v="SUV"/>
    <x v="27"/>
    <n v="7"/>
  </r>
  <r>
    <x v="5"/>
    <s v="Scorpio"/>
    <x v="1"/>
    <n v="15051"/>
    <n v="166364"/>
    <s v="C2"/>
    <s v="SUV"/>
    <x v="27"/>
    <n v="7"/>
  </r>
  <r>
    <x v="5"/>
    <s v="Scorpio"/>
    <x v="2"/>
    <n v="15151"/>
    <n v="166364"/>
    <s v="C2"/>
    <s v="SUV"/>
    <x v="27"/>
    <n v="7"/>
  </r>
  <r>
    <x v="5"/>
    <s v="Scorpio"/>
    <x v="3"/>
    <n v="14807"/>
    <n v="166364"/>
    <s v="C2"/>
    <s v="SUV"/>
    <x v="27"/>
    <n v="7"/>
  </r>
  <r>
    <x v="5"/>
    <s v="Scorpio"/>
    <x v="4"/>
    <n v="13717"/>
    <n v="166364"/>
    <s v="C2"/>
    <s v="SUV"/>
    <x v="27"/>
    <n v="7"/>
  </r>
  <r>
    <x v="5"/>
    <s v="Scorpio"/>
    <x v="5"/>
    <n v="12307"/>
    <n v="166364"/>
    <s v="C2"/>
    <s v="SUV"/>
    <x v="27"/>
    <n v="7"/>
  </r>
  <r>
    <x v="5"/>
    <s v="Scorpio"/>
    <x v="6"/>
    <n v="12237"/>
    <n v="166364"/>
    <s v="C2"/>
    <s v="SUV"/>
    <x v="27"/>
    <n v="7"/>
  </r>
  <r>
    <x v="5"/>
    <s v="Scorpio"/>
    <x v="7"/>
    <n v="13787"/>
    <n v="166364"/>
    <s v="C2"/>
    <s v="SUV"/>
    <x v="27"/>
    <n v="7"/>
  </r>
  <r>
    <x v="5"/>
    <s v="Scorpio"/>
    <x v="8"/>
    <n v="14438"/>
    <n v="166364"/>
    <s v="C2"/>
    <s v="SUV"/>
    <x v="27"/>
    <n v="7"/>
  </r>
  <r>
    <x v="5"/>
    <s v="Scorpio"/>
    <x v="9"/>
    <n v="15677"/>
    <n v="166364"/>
    <s v="C2"/>
    <s v="SUV"/>
    <x v="27"/>
    <n v="7"/>
  </r>
  <r>
    <x v="5"/>
    <s v="Scorpio"/>
    <x v="10"/>
    <n v="12704"/>
    <n v="166364"/>
    <s v="C2"/>
    <s v="SUV"/>
    <x v="27"/>
    <n v="7"/>
  </r>
  <r>
    <x v="5"/>
    <s v="Scorpio"/>
    <x v="11"/>
    <n v="12195"/>
    <n v="166364"/>
    <s v="C2"/>
    <s v="SUV"/>
    <x v="27"/>
    <n v="7"/>
  </r>
  <r>
    <x v="5"/>
    <s v="Thar"/>
    <x v="0"/>
    <n v="6059"/>
    <n v="77013"/>
    <s v="Utility"/>
    <s v="SUV"/>
    <x v="13"/>
    <n v="32"/>
  </r>
  <r>
    <x v="5"/>
    <s v="Thar"/>
    <x v="1"/>
    <n v="5812"/>
    <n v="77013"/>
    <s v="Utility"/>
    <s v="SUV"/>
    <x v="13"/>
    <n v="32"/>
  </r>
  <r>
    <x v="5"/>
    <s v="Thar"/>
    <x v="2"/>
    <n v="6049"/>
    <n v="77013"/>
    <s v="Utility"/>
    <s v="SUV"/>
    <x v="13"/>
    <n v="32"/>
  </r>
  <r>
    <x v="5"/>
    <s v="Thar"/>
    <x v="3"/>
    <n v="6160"/>
    <n v="77013"/>
    <s v="Utility"/>
    <s v="SUV"/>
    <x v="13"/>
    <n v="32"/>
  </r>
  <r>
    <x v="5"/>
    <s v="Thar"/>
    <x v="4"/>
    <n v="5750"/>
    <n v="77013"/>
    <s v="Utility"/>
    <s v="SUV"/>
    <x v="13"/>
    <n v="32"/>
  </r>
  <r>
    <x v="5"/>
    <s v="Thar"/>
    <x v="5"/>
    <n v="5376"/>
    <n v="77013"/>
    <s v="Utility"/>
    <s v="SUV"/>
    <x v="13"/>
    <n v="32"/>
  </r>
  <r>
    <x v="5"/>
    <s v="Thar"/>
    <x v="6"/>
    <n v="4385"/>
    <n v="77013"/>
    <s v="Utility"/>
    <s v="SUV"/>
    <x v="13"/>
    <n v="32"/>
  </r>
  <r>
    <x v="5"/>
    <s v="Thar"/>
    <x v="7"/>
    <n v="4268"/>
    <n v="77013"/>
    <s v="Utility"/>
    <s v="SUV"/>
    <x v="13"/>
    <n v="32"/>
  </r>
  <r>
    <x v="5"/>
    <s v="Thar"/>
    <x v="8"/>
    <n v="8843"/>
    <n v="77013"/>
    <s v="Utility"/>
    <s v="SUV"/>
    <x v="13"/>
    <n v="32"/>
  </r>
  <r>
    <x v="5"/>
    <s v="Thar"/>
    <x v="9"/>
    <n v="7944"/>
    <n v="77013"/>
    <s v="Utility"/>
    <s v="SUV"/>
    <x v="13"/>
    <n v="32"/>
  </r>
  <r>
    <x v="5"/>
    <s v="Thar"/>
    <x v="10"/>
    <n v="8708"/>
    <n v="77013"/>
    <s v="Utility"/>
    <s v="SUV"/>
    <x v="13"/>
    <n v="32"/>
  </r>
  <r>
    <x v="5"/>
    <s v="Thar"/>
    <x v="11"/>
    <n v="7659"/>
    <n v="77013"/>
    <s v="Utility"/>
    <s v="SUV"/>
    <x v="13"/>
    <n v="32"/>
  </r>
  <r>
    <x v="5"/>
    <s v="XUV300, XUV 3X0"/>
    <x v="0"/>
    <n v="4817"/>
    <n v="85828"/>
    <s v="C1"/>
    <s v="SUV"/>
    <x v="8"/>
    <n v="97"/>
  </r>
  <r>
    <x v="5"/>
    <s v="XUV300, XUV 3X0"/>
    <x v="1"/>
    <n v="4218"/>
    <n v="85828"/>
    <s v="C1"/>
    <s v="SUV"/>
    <x v="8"/>
    <n v="97"/>
  </r>
  <r>
    <x v="5"/>
    <s v="XUV300, XUV 3X0"/>
    <x v="2"/>
    <n v="2072"/>
    <n v="85828"/>
    <s v="C1"/>
    <s v="SUV"/>
    <x v="8"/>
    <n v="97"/>
  </r>
  <r>
    <x v="5"/>
    <s v="XUV300, XUV 3X0"/>
    <x v="3"/>
    <n v="4003"/>
    <n v="85828"/>
    <s v="C1"/>
    <s v="SUV"/>
    <x v="8"/>
    <n v="97"/>
  </r>
  <r>
    <x v="5"/>
    <s v="XUV300, XUV 3X0"/>
    <x v="4"/>
    <n v="10000"/>
    <n v="85828"/>
    <s v="C1"/>
    <s v="SUV"/>
    <x v="8"/>
    <n v="97"/>
  </r>
  <r>
    <x v="5"/>
    <s v="XUV300, XUV 3X0"/>
    <x v="5"/>
    <n v="8500"/>
    <n v="85828"/>
    <s v="C1"/>
    <s v="SUV"/>
    <x v="8"/>
    <n v="97"/>
  </r>
  <r>
    <x v="5"/>
    <s v="XUV300, XUV 3X0"/>
    <x v="6"/>
    <n v="10000"/>
    <n v="85828"/>
    <s v="C1"/>
    <s v="SUV"/>
    <x v="8"/>
    <n v="97"/>
  </r>
  <r>
    <x v="5"/>
    <s v="XUV300, XUV 3X0"/>
    <x v="7"/>
    <n v="9000"/>
    <n v="85828"/>
    <s v="C1"/>
    <s v="SUV"/>
    <x v="8"/>
    <n v="97"/>
  </r>
  <r>
    <x v="5"/>
    <s v="XUV300, XUV 3X0"/>
    <x v="8"/>
    <n v="9000"/>
    <n v="85828"/>
    <s v="C1"/>
    <s v="SUV"/>
    <x v="8"/>
    <n v="97"/>
  </r>
  <r>
    <x v="5"/>
    <s v="XUV300, XUV 3X0"/>
    <x v="9"/>
    <n v="9562"/>
    <n v="85828"/>
    <s v="C1"/>
    <s v="SUV"/>
    <x v="8"/>
    <n v="97"/>
  </r>
  <r>
    <x v="5"/>
    <s v="XUV300, XUV 3X0"/>
    <x v="10"/>
    <n v="7656"/>
    <n v="85828"/>
    <s v="C1"/>
    <s v="SUV"/>
    <x v="8"/>
    <n v="97"/>
  </r>
  <r>
    <x v="5"/>
    <s v="XUV300, XUV 3X0"/>
    <x v="11"/>
    <n v="7000"/>
    <n v="85828"/>
    <s v="C1"/>
    <s v="SUV"/>
    <x v="8"/>
    <n v="97"/>
  </r>
  <r>
    <x v="5"/>
    <s v="XUV400"/>
    <x v="0"/>
    <n v="697"/>
    <n v="8484"/>
    <s v="C2"/>
    <s v="SUV"/>
    <x v="28"/>
    <n v="142"/>
  </r>
  <r>
    <x v="5"/>
    <s v="XUV400"/>
    <x v="1"/>
    <n v="610"/>
    <n v="8484"/>
    <s v="C2"/>
    <s v="SUV"/>
    <x v="28"/>
    <n v="142"/>
  </r>
  <r>
    <x v="5"/>
    <s v="XUV400"/>
    <x v="2"/>
    <n v="350"/>
    <n v="8484"/>
    <s v="C2"/>
    <s v="SUV"/>
    <x v="28"/>
    <n v="142"/>
  </r>
  <r>
    <x v="5"/>
    <s v="XUV400"/>
    <x v="3"/>
    <n v="347"/>
    <n v="8484"/>
    <s v="C2"/>
    <s v="SUV"/>
    <x v="28"/>
    <n v="142"/>
  </r>
  <r>
    <x v="5"/>
    <s v="XUV400"/>
    <x v="4"/>
    <n v="701"/>
    <n v="8484"/>
    <s v="C2"/>
    <s v="SUV"/>
    <x v="28"/>
    <n v="142"/>
  </r>
  <r>
    <x v="5"/>
    <s v="XUV400"/>
    <x v="5"/>
    <n v="534"/>
    <n v="8484"/>
    <s v="C2"/>
    <s v="SUV"/>
    <x v="28"/>
    <n v="142"/>
  </r>
  <r>
    <x v="5"/>
    <s v="XUV400"/>
    <x v="6"/>
    <n v="288"/>
    <n v="8484"/>
    <s v="C2"/>
    <s v="SUV"/>
    <x v="28"/>
    <n v="142"/>
  </r>
  <r>
    <x v="5"/>
    <s v="XUV400"/>
    <x v="7"/>
    <n v="713"/>
    <n v="8484"/>
    <s v="C2"/>
    <s v="SUV"/>
    <x v="28"/>
    <n v="142"/>
  </r>
  <r>
    <x v="5"/>
    <s v="XUV400"/>
    <x v="8"/>
    <n v="948"/>
    <n v="8484"/>
    <s v="C2"/>
    <s v="SUV"/>
    <x v="28"/>
    <n v="142"/>
  </r>
  <r>
    <x v="5"/>
    <s v="XUV400"/>
    <x v="9"/>
    <n v="1000"/>
    <n v="8484"/>
    <s v="C2"/>
    <s v="SUV"/>
    <x v="28"/>
    <n v="142"/>
  </r>
  <r>
    <x v="5"/>
    <s v="XUV400"/>
    <x v="10"/>
    <n v="1000"/>
    <n v="8484"/>
    <s v="C2"/>
    <s v="SUV"/>
    <x v="28"/>
    <n v="142"/>
  </r>
  <r>
    <x v="5"/>
    <s v="XUV400"/>
    <x v="11"/>
    <n v="1296"/>
    <n v="8484"/>
    <s v="C2"/>
    <s v="SUV"/>
    <x v="28"/>
    <n v="142"/>
  </r>
  <r>
    <x v="5"/>
    <s v="XUV700"/>
    <x v="0"/>
    <n v="7206"/>
    <n v="90727"/>
    <s v="D1"/>
    <s v="SUV"/>
    <x v="29"/>
    <n v="25"/>
  </r>
  <r>
    <x v="5"/>
    <s v="XUV700"/>
    <x v="1"/>
    <n v="6546"/>
    <n v="90727"/>
    <s v="D1"/>
    <s v="SUV"/>
    <x v="29"/>
    <n v="25"/>
  </r>
  <r>
    <x v="5"/>
    <s v="XUV700"/>
    <x v="2"/>
    <n v="6611"/>
    <n v="90727"/>
    <s v="D1"/>
    <s v="SUV"/>
    <x v="29"/>
    <n v="25"/>
  </r>
  <r>
    <x v="5"/>
    <s v="XUV700"/>
    <x v="3"/>
    <n v="6134"/>
    <n v="90727"/>
    <s v="D1"/>
    <s v="SUV"/>
    <x v="29"/>
    <n v="25"/>
  </r>
  <r>
    <x v="5"/>
    <s v="XUV700"/>
    <x v="4"/>
    <n v="5008"/>
    <n v="90727"/>
    <s v="D1"/>
    <s v="SUV"/>
    <x v="29"/>
    <n v="25"/>
  </r>
  <r>
    <x v="5"/>
    <s v="XUV700"/>
    <x v="5"/>
    <n v="5928"/>
    <n v="90727"/>
    <s v="D1"/>
    <s v="SUV"/>
    <x v="29"/>
    <n v="25"/>
  </r>
  <r>
    <x v="5"/>
    <s v="XUV700"/>
    <x v="6"/>
    <n v="7769"/>
    <n v="90727"/>
    <s v="D1"/>
    <s v="SUV"/>
    <x v="29"/>
    <n v="25"/>
  </r>
  <r>
    <x v="5"/>
    <s v="XUV700"/>
    <x v="7"/>
    <n v="9007"/>
    <n v="90727"/>
    <s v="D1"/>
    <s v="SUV"/>
    <x v="29"/>
    <n v="25"/>
  </r>
  <r>
    <x v="5"/>
    <s v="XUV700"/>
    <x v="8"/>
    <n v="9646"/>
    <n v="90727"/>
    <s v="D1"/>
    <s v="SUV"/>
    <x v="29"/>
    <n v="25"/>
  </r>
  <r>
    <x v="5"/>
    <s v="XUV700"/>
    <x v="9"/>
    <n v="10435"/>
    <n v="90727"/>
    <s v="D1"/>
    <s v="SUV"/>
    <x v="29"/>
    <n v="25"/>
  </r>
  <r>
    <x v="5"/>
    <s v="XUV700"/>
    <x v="10"/>
    <n v="9100"/>
    <n v="90727"/>
    <s v="D1"/>
    <s v="SUV"/>
    <x v="29"/>
    <n v="25"/>
  </r>
  <r>
    <x v="5"/>
    <s v="XUV700"/>
    <x v="11"/>
    <n v="7337"/>
    <n v="90727"/>
    <s v="D1"/>
    <s v="SUV"/>
    <x v="29"/>
    <n v="25"/>
  </r>
  <r>
    <x v="6"/>
    <s v="Alto"/>
    <x v="0"/>
    <n v="12395"/>
    <n v="105922"/>
    <s v="A"/>
    <s v="Hatchback"/>
    <x v="30"/>
    <n v="197"/>
  </r>
  <r>
    <x v="6"/>
    <s v="Alto"/>
    <x v="1"/>
    <n v="11723"/>
    <n v="105922"/>
    <s v="A"/>
    <s v="Hatchback"/>
    <x v="30"/>
    <n v="197"/>
  </r>
  <r>
    <x v="6"/>
    <s v="Alto"/>
    <x v="2"/>
    <n v="9332"/>
    <n v="105922"/>
    <s v="A"/>
    <s v="Hatchback"/>
    <x v="30"/>
    <n v="197"/>
  </r>
  <r>
    <x v="6"/>
    <s v="Alto"/>
    <x v="3"/>
    <n v="9043"/>
    <n v="105922"/>
    <s v="A"/>
    <s v="Hatchback"/>
    <x v="30"/>
    <n v="197"/>
  </r>
  <r>
    <x v="6"/>
    <s v="Alto"/>
    <x v="4"/>
    <n v="7675"/>
    <n v="105922"/>
    <s v="A"/>
    <s v="Hatchback"/>
    <x v="30"/>
    <n v="197"/>
  </r>
  <r>
    <x v="6"/>
    <s v="Alto"/>
    <x v="5"/>
    <n v="7775"/>
    <n v="105922"/>
    <s v="A"/>
    <s v="Hatchback"/>
    <x v="30"/>
    <n v="197"/>
  </r>
  <r>
    <x v="6"/>
    <s v="Alto"/>
    <x v="6"/>
    <n v="7353"/>
    <n v="105922"/>
    <s v="A"/>
    <s v="Hatchback"/>
    <x v="30"/>
    <n v="197"/>
  </r>
  <r>
    <x v="6"/>
    <s v="Alto"/>
    <x v="7"/>
    <n v="8546"/>
    <n v="105922"/>
    <s v="A"/>
    <s v="Hatchback"/>
    <x v="30"/>
    <n v="197"/>
  </r>
  <r>
    <x v="6"/>
    <s v="Alto"/>
    <x v="8"/>
    <n v="8655"/>
    <n v="105922"/>
    <s v="A"/>
    <s v="Hatchback"/>
    <x v="30"/>
    <n v="197"/>
  </r>
  <r>
    <x v="6"/>
    <s v="Alto"/>
    <x v="9"/>
    <n v="8548"/>
    <n v="105922"/>
    <s v="A"/>
    <s v="Hatchback"/>
    <x v="30"/>
    <n v="197"/>
  </r>
  <r>
    <x v="6"/>
    <s v="Alto"/>
    <x v="10"/>
    <n v="7467"/>
    <n v="105922"/>
    <s v="A"/>
    <s v="Hatchback"/>
    <x v="30"/>
    <n v="197"/>
  </r>
  <r>
    <x v="6"/>
    <s v="Alto"/>
    <x v="11"/>
    <n v="7410"/>
    <n v="105922"/>
    <s v="A"/>
    <s v="Hatchback"/>
    <x v="30"/>
    <n v="197"/>
  </r>
  <r>
    <x v="6"/>
    <s v="Baleno"/>
    <x v="0"/>
    <n v="19630"/>
    <n v="172094"/>
    <s v="B2"/>
    <s v="Hatchback"/>
    <x v="31"/>
    <n v="-15"/>
  </r>
  <r>
    <x v="6"/>
    <s v="Baleno"/>
    <x v="1"/>
    <n v="17517"/>
    <n v="172094"/>
    <s v="B2"/>
    <s v="Hatchback"/>
    <x v="31"/>
    <n v="-15"/>
  </r>
  <r>
    <x v="6"/>
    <s v="Baleno"/>
    <x v="2"/>
    <n v="15588"/>
    <n v="172094"/>
    <s v="B2"/>
    <s v="Hatchback"/>
    <x v="31"/>
    <n v="-15"/>
  </r>
  <r>
    <x v="6"/>
    <s v="Baleno"/>
    <x v="3"/>
    <n v="14049"/>
    <n v="172094"/>
    <s v="B2"/>
    <s v="Hatchback"/>
    <x v="31"/>
    <n v="-15"/>
  </r>
  <r>
    <x v="6"/>
    <s v="Baleno"/>
    <x v="4"/>
    <n v="12842"/>
    <n v="172094"/>
    <s v="B2"/>
    <s v="Hatchback"/>
    <x v="31"/>
    <n v="-15"/>
  </r>
  <r>
    <x v="6"/>
    <s v="Baleno"/>
    <x v="5"/>
    <n v="14895"/>
    <n v="172094"/>
    <s v="B2"/>
    <s v="Hatchback"/>
    <x v="31"/>
    <n v="-15"/>
  </r>
  <r>
    <x v="6"/>
    <s v="Baleno"/>
    <x v="6"/>
    <n v="9309"/>
    <n v="172094"/>
    <s v="B2"/>
    <s v="Hatchback"/>
    <x v="31"/>
    <n v="-15"/>
  </r>
  <r>
    <x v="6"/>
    <s v="Baleno"/>
    <x v="7"/>
    <n v="12485"/>
    <n v="172094"/>
    <s v="B2"/>
    <s v="Hatchback"/>
    <x v="31"/>
    <n v="-15"/>
  </r>
  <r>
    <x v="6"/>
    <s v="Baleno"/>
    <x v="8"/>
    <n v="14292"/>
    <n v="172094"/>
    <s v="B2"/>
    <s v="Hatchback"/>
    <x v="31"/>
    <n v="-15"/>
  </r>
  <r>
    <x v="6"/>
    <s v="Baleno"/>
    <x v="9"/>
    <n v="16082"/>
    <n v="172094"/>
    <s v="B2"/>
    <s v="Hatchback"/>
    <x v="31"/>
    <n v="-15"/>
  </r>
  <r>
    <x v="6"/>
    <s v="Baleno"/>
    <x v="10"/>
    <n v="16293"/>
    <n v="172094"/>
    <s v="B2"/>
    <s v="Hatchback"/>
    <x v="31"/>
    <n v="-15"/>
  </r>
  <r>
    <x v="6"/>
    <s v="Baleno"/>
    <x v="11"/>
    <n v="9112"/>
    <n v="172094"/>
    <s v="B2"/>
    <s v="Hatchback"/>
    <x v="31"/>
    <n v="-15"/>
  </r>
  <r>
    <x v="6"/>
    <s v="Brezza"/>
    <x v="0"/>
    <n v="15303"/>
    <n v="188160"/>
    <s v="C1"/>
    <s v="SUV"/>
    <x v="32"/>
    <n v="35"/>
  </r>
  <r>
    <x v="6"/>
    <s v="Brezza"/>
    <x v="1"/>
    <n v="15765"/>
    <n v="188160"/>
    <s v="C1"/>
    <s v="SUV"/>
    <x v="32"/>
    <n v="35"/>
  </r>
  <r>
    <x v="6"/>
    <s v="Brezza"/>
    <x v="2"/>
    <n v="14614"/>
    <n v="188160"/>
    <s v="C1"/>
    <s v="SUV"/>
    <x v="32"/>
    <n v="35"/>
  </r>
  <r>
    <x v="6"/>
    <s v="Brezza"/>
    <x v="3"/>
    <n v="17113"/>
    <n v="188160"/>
    <s v="C1"/>
    <s v="SUV"/>
    <x v="32"/>
    <n v="35"/>
  </r>
  <r>
    <x v="6"/>
    <s v="Brezza"/>
    <x v="4"/>
    <n v="14186"/>
    <n v="188160"/>
    <s v="C1"/>
    <s v="SUV"/>
    <x v="32"/>
    <n v="35"/>
  </r>
  <r>
    <x v="6"/>
    <s v="Brezza"/>
    <x v="5"/>
    <n v="13172"/>
    <n v="188160"/>
    <s v="C1"/>
    <s v="SUV"/>
    <x v="32"/>
    <n v="35"/>
  </r>
  <r>
    <x v="6"/>
    <s v="Brezza"/>
    <x v="6"/>
    <n v="14676"/>
    <n v="188160"/>
    <s v="C1"/>
    <s v="SUV"/>
    <x v="32"/>
    <n v="35"/>
  </r>
  <r>
    <x v="6"/>
    <s v="Brezza"/>
    <x v="7"/>
    <n v="19190"/>
    <n v="188160"/>
    <s v="C1"/>
    <s v="SUV"/>
    <x v="32"/>
    <n v="35"/>
  </r>
  <r>
    <x v="6"/>
    <s v="Brezza"/>
    <x v="8"/>
    <n v="15322"/>
    <n v="188160"/>
    <s v="C1"/>
    <s v="SUV"/>
    <x v="32"/>
    <n v="35"/>
  </r>
  <r>
    <x v="6"/>
    <s v="Brezza"/>
    <x v="9"/>
    <n v="16565"/>
    <n v="188160"/>
    <s v="C1"/>
    <s v="SUV"/>
    <x v="32"/>
    <n v="35"/>
  </r>
  <r>
    <x v="6"/>
    <s v="Brezza"/>
    <x v="10"/>
    <n v="14918"/>
    <n v="188160"/>
    <s v="C1"/>
    <s v="SUV"/>
    <x v="32"/>
    <n v="35"/>
  </r>
  <r>
    <x v="6"/>
    <s v="Brezza"/>
    <x v="11"/>
    <n v="17336"/>
    <n v="188160"/>
    <s v="C1"/>
    <s v="SUV"/>
    <x v="32"/>
    <n v="35"/>
  </r>
  <r>
    <x v="6"/>
    <s v="Celerio"/>
    <x v="0"/>
    <n v="4406"/>
    <n v="36047"/>
    <s v="B1"/>
    <s v="Hatchback"/>
    <x v="33"/>
    <n v="203"/>
  </r>
  <r>
    <x v="6"/>
    <s v="Celerio"/>
    <x v="1"/>
    <n v="3586"/>
    <n v="36047"/>
    <s v="B1"/>
    <s v="Hatchback"/>
    <x v="33"/>
    <n v="203"/>
  </r>
  <r>
    <x v="6"/>
    <s v="Celerio"/>
    <x v="2"/>
    <n v="3478"/>
    <n v="36047"/>
    <s v="B1"/>
    <s v="Hatchback"/>
    <x v="33"/>
    <n v="203"/>
  </r>
  <r>
    <x v="6"/>
    <s v="Celerio"/>
    <x v="3"/>
    <n v="3220"/>
    <n v="36047"/>
    <s v="B1"/>
    <s v="Hatchback"/>
    <x v="33"/>
    <n v="203"/>
  </r>
  <r>
    <x v="6"/>
    <s v="Celerio"/>
    <x v="4"/>
    <n v="3314"/>
    <n v="36047"/>
    <s v="B1"/>
    <s v="Hatchback"/>
    <x v="33"/>
    <n v="203"/>
  </r>
  <r>
    <x v="6"/>
    <s v="Celerio"/>
    <x v="5"/>
    <n v="2985"/>
    <n v="36047"/>
    <s v="B1"/>
    <s v="Hatchback"/>
    <x v="33"/>
    <n v="203"/>
  </r>
  <r>
    <x v="6"/>
    <s v="Celerio"/>
    <x v="6"/>
    <n v="2465"/>
    <n v="36047"/>
    <s v="B1"/>
    <s v="Hatchback"/>
    <x v="33"/>
    <n v="203"/>
  </r>
  <r>
    <x v="6"/>
    <s v="Celerio"/>
    <x v="7"/>
    <n v="3181"/>
    <n v="36047"/>
    <s v="B1"/>
    <s v="Hatchback"/>
    <x v="33"/>
    <n v="203"/>
  </r>
  <r>
    <x v="6"/>
    <s v="Celerio"/>
    <x v="8"/>
    <n v="3241"/>
    <n v="36047"/>
    <s v="B1"/>
    <s v="Hatchback"/>
    <x v="33"/>
    <n v="203"/>
  </r>
  <r>
    <x v="6"/>
    <s v="Celerio"/>
    <x v="9"/>
    <n v="3044"/>
    <n v="36047"/>
    <s v="B1"/>
    <s v="Hatchback"/>
    <x v="33"/>
    <n v="203"/>
  </r>
  <r>
    <x v="6"/>
    <s v="Celerio"/>
    <x v="10"/>
    <n v="2379"/>
    <n v="36047"/>
    <s v="B1"/>
    <s v="Hatchback"/>
    <x v="33"/>
    <n v="203"/>
  </r>
  <r>
    <x v="6"/>
    <s v="Celerio"/>
    <x v="11"/>
    <n v="748"/>
    <n v="36047"/>
    <s v="B1"/>
    <s v="Hatchback"/>
    <x v="33"/>
    <n v="203"/>
  </r>
  <r>
    <x v="6"/>
    <s v="Ciaz"/>
    <x v="0"/>
    <n v="363"/>
    <n v="7295"/>
    <s v="C2"/>
    <s v="Sedan"/>
    <x v="34"/>
    <n v="-5"/>
  </r>
  <r>
    <x v="6"/>
    <s v="Ciaz"/>
    <x v="1"/>
    <n v="481"/>
    <n v="7295"/>
    <s v="C2"/>
    <s v="Sedan"/>
    <x v="34"/>
    <n v="-5"/>
  </r>
  <r>
    <x v="6"/>
    <s v="Ciaz"/>
    <x v="2"/>
    <n v="590"/>
    <n v="7295"/>
    <s v="C2"/>
    <s v="Sedan"/>
    <x v="34"/>
    <n v="-5"/>
  </r>
  <r>
    <x v="6"/>
    <s v="Ciaz"/>
    <x v="3"/>
    <n v="867"/>
    <n v="7295"/>
    <s v="C2"/>
    <s v="Sedan"/>
    <x v="34"/>
    <n v="-5"/>
  </r>
  <r>
    <x v="6"/>
    <s v="Ciaz"/>
    <x v="4"/>
    <n v="730"/>
    <n v="7295"/>
    <s v="C2"/>
    <s v="Sedan"/>
    <x v="34"/>
    <n v="-5"/>
  </r>
  <r>
    <x v="6"/>
    <s v="Ciaz"/>
    <x v="5"/>
    <n v="572"/>
    <n v="7295"/>
    <s v="C2"/>
    <s v="Sedan"/>
    <x v="34"/>
    <n v="-5"/>
  </r>
  <r>
    <x v="6"/>
    <s v="Ciaz"/>
    <x v="6"/>
    <n v="603"/>
    <n v="7295"/>
    <s v="C2"/>
    <s v="Sedan"/>
    <x v="34"/>
    <n v="-5"/>
  </r>
  <r>
    <x v="6"/>
    <s v="Ciaz"/>
    <x v="7"/>
    <n v="707"/>
    <n v="7295"/>
    <s v="C2"/>
    <s v="Sedan"/>
    <x v="34"/>
    <n v="-5"/>
  </r>
  <r>
    <x v="6"/>
    <s v="Ciaz"/>
    <x v="8"/>
    <n v="662"/>
    <n v="7295"/>
    <s v="C2"/>
    <s v="Sedan"/>
    <x v="34"/>
    <n v="-5"/>
  </r>
  <r>
    <x v="6"/>
    <s v="Ciaz"/>
    <x v="9"/>
    <n v="659"/>
    <n v="7295"/>
    <s v="C2"/>
    <s v="Sedan"/>
    <x v="34"/>
    <n v="-5"/>
  </r>
  <r>
    <x v="6"/>
    <s v="Ciaz"/>
    <x v="10"/>
    <n v="597"/>
    <n v="7295"/>
    <s v="C2"/>
    <s v="Sedan"/>
    <x v="34"/>
    <n v="-5"/>
  </r>
  <r>
    <x v="6"/>
    <s v="Ciaz"/>
    <x v="11"/>
    <n v="464"/>
    <n v="7295"/>
    <s v="C2"/>
    <s v="Sedan"/>
    <x v="34"/>
    <n v="-5"/>
  </r>
  <r>
    <x v="6"/>
    <s v="Dzire"/>
    <x v="0"/>
    <n v="16773"/>
    <n v="167988"/>
    <s v="C1"/>
    <s v="Sedan"/>
    <x v="5"/>
    <n v="18"/>
  </r>
  <r>
    <x v="6"/>
    <s v="Dzire"/>
    <x v="1"/>
    <n v="15837"/>
    <n v="167988"/>
    <s v="C1"/>
    <s v="Sedan"/>
    <x v="5"/>
    <n v="18"/>
  </r>
  <r>
    <x v="6"/>
    <s v="Dzire"/>
    <x v="2"/>
    <n v="15894"/>
    <n v="167988"/>
    <s v="C1"/>
    <s v="Sedan"/>
    <x v="5"/>
    <n v="18"/>
  </r>
  <r>
    <x v="6"/>
    <s v="Dzire"/>
    <x v="3"/>
    <n v="15825"/>
    <n v="167988"/>
    <s v="C1"/>
    <s v="Sedan"/>
    <x v="5"/>
    <n v="18"/>
  </r>
  <r>
    <x v="6"/>
    <s v="Dzire"/>
    <x v="4"/>
    <n v="16061"/>
    <n v="167988"/>
    <s v="C1"/>
    <s v="Sedan"/>
    <x v="5"/>
    <n v="18"/>
  </r>
  <r>
    <x v="6"/>
    <s v="Dzire"/>
    <x v="5"/>
    <n v="13421"/>
    <n v="167988"/>
    <s v="C1"/>
    <s v="Sedan"/>
    <x v="5"/>
    <n v="18"/>
  </r>
  <r>
    <x v="6"/>
    <s v="Dzire"/>
    <x v="6"/>
    <n v="11647"/>
    <n v="167988"/>
    <s v="C1"/>
    <s v="Sedan"/>
    <x v="5"/>
    <n v="18"/>
  </r>
  <r>
    <x v="6"/>
    <s v="Dzire"/>
    <x v="7"/>
    <n v="10627"/>
    <n v="167988"/>
    <s v="C1"/>
    <s v="Sedan"/>
    <x v="5"/>
    <n v="18"/>
  </r>
  <r>
    <x v="6"/>
    <s v="Dzire"/>
    <x v="8"/>
    <n v="10853"/>
    <n v="167988"/>
    <s v="C1"/>
    <s v="Sedan"/>
    <x v="5"/>
    <n v="18"/>
  </r>
  <r>
    <x v="6"/>
    <s v="Dzire"/>
    <x v="9"/>
    <n v="12698"/>
    <n v="167988"/>
    <s v="C1"/>
    <s v="Sedan"/>
    <x v="5"/>
    <n v="18"/>
  </r>
  <r>
    <x v="6"/>
    <s v="Dzire"/>
    <x v="10"/>
    <n v="11779"/>
    <n v="167988"/>
    <s v="C1"/>
    <s v="Sedan"/>
    <x v="5"/>
    <n v="18"/>
  </r>
  <r>
    <x v="6"/>
    <s v="Dzire"/>
    <x v="11"/>
    <n v="16573"/>
    <n v="167988"/>
    <s v="C1"/>
    <s v="Sedan"/>
    <x v="5"/>
    <n v="18"/>
  </r>
  <r>
    <x v="6"/>
    <s v="Eeco"/>
    <x v="0"/>
    <n v="12019"/>
    <n v="138705"/>
    <s v="Utility"/>
    <s v="MUV"/>
    <x v="6"/>
    <n v="16"/>
  </r>
  <r>
    <x v="6"/>
    <s v="Eeco"/>
    <x v="1"/>
    <n v="12147"/>
    <n v="138705"/>
    <s v="Utility"/>
    <s v="MUV"/>
    <x v="6"/>
    <n v="16"/>
  </r>
  <r>
    <x v="6"/>
    <s v="Eeco"/>
    <x v="2"/>
    <n v="12019"/>
    <n v="138705"/>
    <s v="Utility"/>
    <s v="MUV"/>
    <x v="6"/>
    <n v="16"/>
  </r>
  <r>
    <x v="6"/>
    <s v="Eeco"/>
    <x v="3"/>
    <n v="12060"/>
    <n v="138705"/>
    <s v="Utility"/>
    <s v="MUV"/>
    <x v="6"/>
    <n v="16"/>
  </r>
  <r>
    <x v="6"/>
    <s v="Eeco"/>
    <x v="4"/>
    <n v="10960"/>
    <n v="138705"/>
    <s v="Utility"/>
    <s v="MUV"/>
    <x v="6"/>
    <n v="16"/>
  </r>
  <r>
    <x v="6"/>
    <s v="Eeco"/>
    <x v="5"/>
    <n v="10771"/>
    <n v="138705"/>
    <s v="Utility"/>
    <s v="MUV"/>
    <x v="6"/>
    <n v="16"/>
  </r>
  <r>
    <x v="6"/>
    <s v="Eeco"/>
    <x v="6"/>
    <n v="11916"/>
    <n v="138705"/>
    <s v="Utility"/>
    <s v="MUV"/>
    <x v="6"/>
    <n v="16"/>
  </r>
  <r>
    <x v="6"/>
    <s v="Eeco"/>
    <x v="7"/>
    <n v="10985"/>
    <n v="138705"/>
    <s v="Utility"/>
    <s v="MUV"/>
    <x v="6"/>
    <n v="16"/>
  </r>
  <r>
    <x v="6"/>
    <s v="Eeco"/>
    <x v="8"/>
    <n v="11908"/>
    <n v="138705"/>
    <s v="Utility"/>
    <s v="MUV"/>
    <x v="6"/>
    <n v="16"/>
  </r>
  <r>
    <x v="6"/>
    <s v="Eeco"/>
    <x v="9"/>
    <n v="11653"/>
    <n v="138705"/>
    <s v="Utility"/>
    <s v="MUV"/>
    <x v="6"/>
    <n v="16"/>
  </r>
  <r>
    <x v="6"/>
    <s v="Eeco"/>
    <x v="10"/>
    <n v="10589"/>
    <n v="138705"/>
    <s v="Utility"/>
    <s v="MUV"/>
    <x v="6"/>
    <n v="16"/>
  </r>
  <r>
    <x v="6"/>
    <s v="Eeco"/>
    <x v="11"/>
    <n v="11678"/>
    <n v="138705"/>
    <s v="Utility"/>
    <s v="MUV"/>
    <x v="6"/>
    <n v="16"/>
  </r>
  <r>
    <x v="6"/>
    <s v="Ertiga"/>
    <x v="0"/>
    <n v="14632"/>
    <n v="190091"/>
    <s v="Utility"/>
    <s v="MUV"/>
    <x v="35"/>
    <n v="24"/>
  </r>
  <r>
    <x v="6"/>
    <s v="Ertiga"/>
    <x v="1"/>
    <n v="15519"/>
    <n v="190091"/>
    <s v="Utility"/>
    <s v="MUV"/>
    <x v="35"/>
    <n v="24"/>
  </r>
  <r>
    <x v="6"/>
    <s v="Ertiga"/>
    <x v="2"/>
    <n v="14888"/>
    <n v="190091"/>
    <s v="Utility"/>
    <s v="MUV"/>
    <x v="35"/>
    <n v="24"/>
  </r>
  <r>
    <x v="6"/>
    <s v="Ertiga"/>
    <x v="3"/>
    <n v="13544"/>
    <n v="190091"/>
    <s v="Utility"/>
    <s v="MUV"/>
    <x v="35"/>
    <n v="24"/>
  </r>
  <r>
    <x v="6"/>
    <s v="Ertiga"/>
    <x v="4"/>
    <n v="13893"/>
    <n v="190091"/>
    <s v="Utility"/>
    <s v="MUV"/>
    <x v="35"/>
    <n v="24"/>
  </r>
  <r>
    <x v="6"/>
    <s v="Ertiga"/>
    <x v="5"/>
    <n v="15902"/>
    <n v="190091"/>
    <s v="Utility"/>
    <s v="MUV"/>
    <x v="35"/>
    <n v="24"/>
  </r>
  <r>
    <x v="6"/>
    <s v="Ertiga"/>
    <x v="6"/>
    <n v="15701"/>
    <n v="190091"/>
    <s v="Utility"/>
    <s v="MUV"/>
    <x v="35"/>
    <n v="24"/>
  </r>
  <r>
    <x v="6"/>
    <s v="Ertiga"/>
    <x v="7"/>
    <n v="18580"/>
    <n v="190091"/>
    <s v="Utility"/>
    <s v="MUV"/>
    <x v="35"/>
    <n v="24"/>
  </r>
  <r>
    <x v="6"/>
    <s v="Ertiga"/>
    <x v="8"/>
    <n v="17441"/>
    <n v="190091"/>
    <s v="Utility"/>
    <s v="MUV"/>
    <x v="35"/>
    <n v="24"/>
  </r>
  <r>
    <x v="6"/>
    <s v="Ertiga"/>
    <x v="9"/>
    <n v="18785"/>
    <n v="190091"/>
    <s v="Utility"/>
    <s v="MUV"/>
    <x v="35"/>
    <n v="24"/>
  </r>
  <r>
    <x v="6"/>
    <s v="Ertiga"/>
    <x v="10"/>
    <n v="15150"/>
    <n v="190091"/>
    <s v="Utility"/>
    <s v="MUV"/>
    <x v="35"/>
    <n v="24"/>
  </r>
  <r>
    <x v="6"/>
    <s v="Ertiga"/>
    <x v="11"/>
    <n v="16056"/>
    <n v="190091"/>
    <s v="Utility"/>
    <s v="MUV"/>
    <x v="35"/>
    <n v="24"/>
  </r>
  <r>
    <x v="6"/>
    <s v="Fronx"/>
    <x v="0"/>
    <n v="13643"/>
    <n v="156236"/>
    <s v="C1"/>
    <s v="SUV"/>
    <x v="17"/>
    <n v="11"/>
  </r>
  <r>
    <x v="6"/>
    <s v="Fronx"/>
    <x v="1"/>
    <n v="14168"/>
    <n v="156236"/>
    <s v="C1"/>
    <s v="SUV"/>
    <x v="17"/>
    <n v="11"/>
  </r>
  <r>
    <x v="6"/>
    <s v="Fronx"/>
    <x v="2"/>
    <n v="12531"/>
    <n v="156236"/>
    <s v="C1"/>
    <s v="SUV"/>
    <x v="17"/>
    <n v="11"/>
  </r>
  <r>
    <x v="6"/>
    <s v="Fronx"/>
    <x v="3"/>
    <n v="14286"/>
    <n v="156236"/>
    <s v="C1"/>
    <s v="SUV"/>
    <x v="17"/>
    <n v="11"/>
  </r>
  <r>
    <x v="6"/>
    <s v="Fronx"/>
    <x v="4"/>
    <n v="12681"/>
    <n v="156236"/>
    <s v="C1"/>
    <s v="SUV"/>
    <x v="17"/>
    <n v="11"/>
  </r>
  <r>
    <x v="6"/>
    <s v="Fronx"/>
    <x v="5"/>
    <n v="9688"/>
    <n v="156236"/>
    <s v="C1"/>
    <s v="SUV"/>
    <x v="17"/>
    <n v="11"/>
  </r>
  <r>
    <x v="6"/>
    <s v="Fronx"/>
    <x v="6"/>
    <n v="10925"/>
    <n v="156236"/>
    <s v="C1"/>
    <s v="SUV"/>
    <x v="17"/>
    <n v="11"/>
  </r>
  <r>
    <x v="6"/>
    <s v="Fronx"/>
    <x v="7"/>
    <n v="12387"/>
    <n v="156236"/>
    <s v="C1"/>
    <s v="SUV"/>
    <x v="17"/>
    <n v="11"/>
  </r>
  <r>
    <x v="6"/>
    <s v="Fronx"/>
    <x v="8"/>
    <n v="13874"/>
    <n v="156236"/>
    <s v="C1"/>
    <s v="SUV"/>
    <x v="17"/>
    <n v="11"/>
  </r>
  <r>
    <x v="6"/>
    <s v="Fronx"/>
    <x v="9"/>
    <n v="16419"/>
    <n v="156236"/>
    <s v="C1"/>
    <s v="SUV"/>
    <x v="17"/>
    <n v="11"/>
  </r>
  <r>
    <x v="6"/>
    <s v="Fronx"/>
    <x v="10"/>
    <n v="14882"/>
    <n v="156236"/>
    <s v="C1"/>
    <s v="SUV"/>
    <x v="17"/>
    <n v="11"/>
  </r>
  <r>
    <x v="6"/>
    <s v="Fronx"/>
    <x v="11"/>
    <n v="10752"/>
    <n v="156236"/>
    <s v="C1"/>
    <s v="SUV"/>
    <x v="17"/>
    <n v="11"/>
  </r>
  <r>
    <x v="6"/>
    <s v="Grand Vitara"/>
    <x v="0"/>
    <n v="13438"/>
    <n v="122747"/>
    <s v="C2"/>
    <s v="SUV"/>
    <x v="36"/>
    <n v="2"/>
  </r>
  <r>
    <x v="6"/>
    <s v="Grand Vitara"/>
    <x v="1"/>
    <n v="11002"/>
    <n v="122747"/>
    <s v="C2"/>
    <s v="SUV"/>
    <x v="36"/>
    <n v="2"/>
  </r>
  <r>
    <x v="6"/>
    <s v="Grand Vitara"/>
    <x v="2"/>
    <n v="11232"/>
    <n v="122747"/>
    <s v="C2"/>
    <s v="SUV"/>
    <x v="36"/>
    <n v="2"/>
  </r>
  <r>
    <x v="6"/>
    <s v="Grand Vitara"/>
    <x v="3"/>
    <n v="7651"/>
    <n v="122747"/>
    <s v="C2"/>
    <s v="SUV"/>
    <x v="36"/>
    <n v="2"/>
  </r>
  <r>
    <x v="6"/>
    <s v="Grand Vitara"/>
    <x v="4"/>
    <n v="9736"/>
    <n v="122747"/>
    <s v="C2"/>
    <s v="SUV"/>
    <x v="36"/>
    <n v="2"/>
  </r>
  <r>
    <x v="6"/>
    <s v="Grand Vitara"/>
    <x v="5"/>
    <n v="9679"/>
    <n v="122747"/>
    <s v="C2"/>
    <s v="SUV"/>
    <x v="36"/>
    <n v="2"/>
  </r>
  <r>
    <x v="6"/>
    <s v="Grand Vitara"/>
    <x v="6"/>
    <n v="9397"/>
    <n v="122747"/>
    <s v="C2"/>
    <s v="SUV"/>
    <x v="36"/>
    <n v="2"/>
  </r>
  <r>
    <x v="6"/>
    <s v="Grand Vitara"/>
    <x v="7"/>
    <n v="9021"/>
    <n v="122747"/>
    <s v="C2"/>
    <s v="SUV"/>
    <x v="36"/>
    <n v="2"/>
  </r>
  <r>
    <x v="6"/>
    <s v="Grand Vitara"/>
    <x v="8"/>
    <n v="10267"/>
    <n v="122747"/>
    <s v="C2"/>
    <s v="SUV"/>
    <x v="36"/>
    <n v="2"/>
  </r>
  <r>
    <x v="6"/>
    <s v="Grand Vitara"/>
    <x v="9"/>
    <n v="14083"/>
    <n v="122747"/>
    <s v="C2"/>
    <s v="SUV"/>
    <x v="36"/>
    <n v="2"/>
  </r>
  <r>
    <x v="6"/>
    <s v="Grand Vitara"/>
    <x v="10"/>
    <n v="10148"/>
    <n v="122747"/>
    <s v="C2"/>
    <s v="SUV"/>
    <x v="36"/>
    <n v="2"/>
  </r>
  <r>
    <x v="6"/>
    <s v="Grand Vitara"/>
    <x v="11"/>
    <n v="7093"/>
    <n v="122747"/>
    <s v="C2"/>
    <s v="SUV"/>
    <x v="36"/>
    <n v="2"/>
  </r>
  <r>
    <x v="6"/>
    <s v="Ignis"/>
    <x v="0"/>
    <n v="2598"/>
    <n v="24750"/>
    <s v="B2"/>
    <s v="Hatchback"/>
    <x v="37"/>
    <n v="91"/>
  </r>
  <r>
    <x v="6"/>
    <s v="Ignis"/>
    <x v="1"/>
    <n v="211"/>
    <n v="24750"/>
    <s v="B2"/>
    <s v="Hatchback"/>
    <x v="37"/>
    <n v="91"/>
  </r>
  <r>
    <x v="6"/>
    <s v="Ignis"/>
    <x v="2"/>
    <n v="2788"/>
    <n v="24750"/>
    <s v="B2"/>
    <s v="Hatchback"/>
    <x v="37"/>
    <n v="91"/>
  </r>
  <r>
    <x v="6"/>
    <s v="Ignis"/>
    <x v="3"/>
    <n v="1915"/>
    <n v="24750"/>
    <s v="B2"/>
    <s v="Hatchback"/>
    <x v="37"/>
    <n v="91"/>
  </r>
  <r>
    <x v="6"/>
    <s v="Ignis"/>
    <x v="4"/>
    <n v="2104"/>
    <n v="24750"/>
    <s v="B2"/>
    <s v="Hatchback"/>
    <x v="37"/>
    <n v="91"/>
  </r>
  <r>
    <x v="6"/>
    <s v="Ignis"/>
    <x v="5"/>
    <n v="2536"/>
    <n v="24750"/>
    <s v="B2"/>
    <s v="Hatchback"/>
    <x v="37"/>
    <n v="91"/>
  </r>
  <r>
    <x v="6"/>
    <s v="Ignis"/>
    <x v="6"/>
    <n v="2216"/>
    <n v="24750"/>
    <s v="B2"/>
    <s v="Hatchback"/>
    <x v="37"/>
    <n v="91"/>
  </r>
  <r>
    <x v="6"/>
    <s v="Ignis"/>
    <x v="7"/>
    <n v="2464"/>
    <n v="24750"/>
    <s v="B2"/>
    <s v="Hatchback"/>
    <x v="37"/>
    <n v="91"/>
  </r>
  <r>
    <x v="6"/>
    <s v="Ignis"/>
    <x v="8"/>
    <n v="2514"/>
    <n v="24750"/>
    <s v="B2"/>
    <s v="Hatchback"/>
    <x v="37"/>
    <n v="91"/>
  </r>
  <r>
    <x v="6"/>
    <s v="Ignis"/>
    <x v="9"/>
    <n v="2663"/>
    <n v="24750"/>
    <s v="B2"/>
    <s v="Hatchback"/>
    <x v="37"/>
    <n v="91"/>
  </r>
  <r>
    <x v="6"/>
    <s v="Ignis"/>
    <x v="10"/>
    <n v="2203"/>
    <n v="24750"/>
    <s v="B2"/>
    <s v="Hatchback"/>
    <x v="37"/>
    <n v="91"/>
  </r>
  <r>
    <x v="6"/>
    <s v="Ignis"/>
    <x v="11"/>
    <n v="749"/>
    <n v="24750"/>
    <s v="B2"/>
    <s v="Hatchback"/>
    <x v="37"/>
    <n v="91"/>
  </r>
  <r>
    <x v="6"/>
    <s v="Invicto"/>
    <x v="0"/>
    <n v="496"/>
    <n v="4016"/>
    <s v="D1"/>
    <s v="MUV"/>
    <x v="38"/>
    <n v="64"/>
  </r>
  <r>
    <x v="6"/>
    <s v="Invicto"/>
    <x v="1"/>
    <n v="366"/>
    <n v="4016"/>
    <s v="D1"/>
    <s v="MUV"/>
    <x v="38"/>
    <n v="64"/>
  </r>
  <r>
    <x v="6"/>
    <s v="Invicto"/>
    <x v="2"/>
    <n v="348"/>
    <n v="4016"/>
    <s v="D1"/>
    <s v="MUV"/>
    <x v="38"/>
    <n v="64"/>
  </r>
  <r>
    <x v="6"/>
    <s v="Invicto"/>
    <x v="3"/>
    <n v="193"/>
    <n v="4016"/>
    <s v="D1"/>
    <s v="MUV"/>
    <x v="38"/>
    <n v="64"/>
  </r>
  <r>
    <x v="6"/>
    <s v="Invicto"/>
    <x v="4"/>
    <n v="193"/>
    <n v="4016"/>
    <s v="D1"/>
    <s v="MUV"/>
    <x v="38"/>
    <n v="64"/>
  </r>
  <r>
    <x v="6"/>
    <s v="Invicto"/>
    <x v="5"/>
    <n v="128"/>
    <n v="4016"/>
    <s v="D1"/>
    <s v="MUV"/>
    <x v="38"/>
    <n v="64"/>
  </r>
  <r>
    <x v="6"/>
    <s v="Invicto"/>
    <x v="6"/>
    <n v="251"/>
    <n v="4016"/>
    <s v="D1"/>
    <s v="MUV"/>
    <x v="38"/>
    <n v="64"/>
  </r>
  <r>
    <x v="6"/>
    <s v="Invicto"/>
    <x v="7"/>
    <n v="174"/>
    <n v="4016"/>
    <s v="D1"/>
    <s v="MUV"/>
    <x v="38"/>
    <n v="64"/>
  </r>
  <r>
    <x v="6"/>
    <s v="Invicto"/>
    <x v="8"/>
    <n v="312"/>
    <n v="4016"/>
    <s v="D1"/>
    <s v="MUV"/>
    <x v="38"/>
    <n v="64"/>
  </r>
  <r>
    <x v="6"/>
    <s v="Invicto"/>
    <x v="9"/>
    <n v="296"/>
    <n v="4016"/>
    <s v="D1"/>
    <s v="MUV"/>
    <x v="38"/>
    <n v="64"/>
  </r>
  <r>
    <x v="6"/>
    <s v="Invicto"/>
    <x v="10"/>
    <n v="434"/>
    <n v="4016"/>
    <s v="D1"/>
    <s v="MUV"/>
    <x v="38"/>
    <n v="64"/>
  </r>
  <r>
    <x v="6"/>
    <s v="Invicto"/>
    <x v="11"/>
    <n v="825"/>
    <n v="4016"/>
    <s v="D1"/>
    <s v="MUV"/>
    <x v="38"/>
    <n v="64"/>
  </r>
  <r>
    <x v="6"/>
    <s v="Jimny"/>
    <x v="0"/>
    <n v="163"/>
    <n v="8734"/>
    <s v="Utility"/>
    <s v="SUV"/>
    <x v="39"/>
    <n v="51"/>
  </r>
  <r>
    <x v="6"/>
    <s v="Jimny"/>
    <x v="1"/>
    <n v="322"/>
    <n v="8734"/>
    <s v="Utility"/>
    <s v="SUV"/>
    <x v="39"/>
    <n v="51"/>
  </r>
  <r>
    <x v="6"/>
    <s v="Jimny"/>
    <x v="2"/>
    <n v="318"/>
    <n v="8734"/>
    <s v="Utility"/>
    <s v="SUV"/>
    <x v="39"/>
    <n v="51"/>
  </r>
  <r>
    <x v="6"/>
    <s v="Jimny"/>
    <x v="3"/>
    <n v="257"/>
    <n v="8734"/>
    <s v="Utility"/>
    <s v="SUV"/>
    <x v="39"/>
    <n v="51"/>
  </r>
  <r>
    <x v="6"/>
    <s v="Jimny"/>
    <x v="4"/>
    <n v="274"/>
    <n v="8734"/>
    <s v="Utility"/>
    <s v="SUV"/>
    <x v="39"/>
    <n v="51"/>
  </r>
  <r>
    <x v="6"/>
    <s v="Jimny"/>
    <x v="5"/>
    <n v="481"/>
    <n v="8734"/>
    <s v="Utility"/>
    <s v="SUV"/>
    <x v="39"/>
    <n v="51"/>
  </r>
  <r>
    <x v="6"/>
    <s v="Jimny"/>
    <x v="6"/>
    <n v="2429"/>
    <n v="8734"/>
    <s v="Utility"/>
    <s v="SUV"/>
    <x v="39"/>
    <n v="51"/>
  </r>
  <r>
    <x v="6"/>
    <s v="Jimny"/>
    <x v="7"/>
    <n v="592"/>
    <n v="8734"/>
    <s v="Utility"/>
    <s v="SUV"/>
    <x v="39"/>
    <n v="51"/>
  </r>
  <r>
    <x v="6"/>
    <s v="Jimny"/>
    <x v="8"/>
    <n v="599"/>
    <n v="8734"/>
    <s v="Utility"/>
    <s v="SUV"/>
    <x v="39"/>
    <n v="51"/>
  </r>
  <r>
    <x v="6"/>
    <s v="Jimny"/>
    <x v="9"/>
    <n v="1211"/>
    <n v="8734"/>
    <s v="Utility"/>
    <s v="SUV"/>
    <x v="39"/>
    <n v="51"/>
  </r>
  <r>
    <x v="6"/>
    <s v="Jimny"/>
    <x v="10"/>
    <n v="988"/>
    <n v="8734"/>
    <s v="Utility"/>
    <s v="SUV"/>
    <x v="39"/>
    <n v="51"/>
  </r>
  <r>
    <x v="6"/>
    <s v="Jimny"/>
    <x v="11"/>
    <n v="1100"/>
    <n v="8734"/>
    <s v="Utility"/>
    <s v="SUV"/>
    <x v="39"/>
    <n v="51"/>
  </r>
  <r>
    <x v="6"/>
    <s v="S-Presso"/>
    <x v="0"/>
    <n v="3454"/>
    <n v="26180"/>
    <s v="A"/>
    <s v="Hatchback"/>
    <x v="40"/>
    <n v="-87"/>
  </r>
  <r>
    <x v="6"/>
    <s v="S-Presso"/>
    <x v="1"/>
    <n v="3059"/>
    <n v="26180"/>
    <s v="A"/>
    <s v="Hatchback"/>
    <x v="40"/>
    <n v="-87"/>
  </r>
  <r>
    <x v="6"/>
    <s v="S-Presso"/>
    <x v="2"/>
    <n v="2497"/>
    <n v="26180"/>
    <s v="A"/>
    <s v="Hatchback"/>
    <x v="40"/>
    <n v="-87"/>
  </r>
  <r>
    <x v="6"/>
    <s v="S-Presso"/>
    <x v="3"/>
    <n v="2476"/>
    <n v="26180"/>
    <s v="A"/>
    <s v="Hatchback"/>
    <x v="40"/>
    <n v="-87"/>
  </r>
  <r>
    <x v="6"/>
    <s v="S-Presso"/>
    <x v="4"/>
    <n v="2227"/>
    <n v="26180"/>
    <s v="A"/>
    <s v="Hatchback"/>
    <x v="40"/>
    <n v="-87"/>
  </r>
  <r>
    <x v="6"/>
    <s v="S-Presso"/>
    <x v="5"/>
    <n v="1620"/>
    <n v="26180"/>
    <s v="A"/>
    <s v="Hatchback"/>
    <x v="40"/>
    <n v="-87"/>
  </r>
  <r>
    <x v="6"/>
    <s v="S-Presso"/>
    <x v="6"/>
    <n v="2607"/>
    <n v="26180"/>
    <s v="A"/>
    <s v="Hatchback"/>
    <x v="40"/>
    <n v="-87"/>
  </r>
  <r>
    <x v="6"/>
    <s v="S-Presso"/>
    <x v="7"/>
    <n v="2102"/>
    <n v="26180"/>
    <s v="A"/>
    <s v="Hatchback"/>
    <x v="40"/>
    <n v="-87"/>
  </r>
  <r>
    <x v="6"/>
    <s v="S-Presso"/>
    <x v="8"/>
    <n v="1708"/>
    <n v="26180"/>
    <s v="A"/>
    <s v="Hatchback"/>
    <x v="40"/>
    <n v="-87"/>
  </r>
  <r>
    <x v="6"/>
    <s v="S-Presso"/>
    <x v="9"/>
    <n v="2139"/>
    <n v="26180"/>
    <s v="A"/>
    <s v="Hatchback"/>
    <x v="40"/>
    <n v="-87"/>
  </r>
  <r>
    <x v="6"/>
    <s v="S-Presso"/>
    <x v="10"/>
    <n v="2283"/>
    <n v="26180"/>
    <s v="A"/>
    <s v="Hatchback"/>
    <x v="40"/>
    <n v="-87"/>
  </r>
  <r>
    <x v="6"/>
    <s v="S-Presso"/>
    <x v="11"/>
    <n v="8"/>
    <n v="26180"/>
    <s v="A"/>
    <s v="Hatchback"/>
    <x v="40"/>
    <n v="-87"/>
  </r>
  <r>
    <x v="6"/>
    <s v="Swift"/>
    <x v="0"/>
    <n v="15370"/>
    <n v="172808"/>
    <s v="B2"/>
    <s v="Hatchback"/>
    <x v="41"/>
    <n v="-12"/>
  </r>
  <r>
    <x v="6"/>
    <s v="Swift"/>
    <x v="1"/>
    <n v="13165"/>
    <n v="172808"/>
    <s v="B2"/>
    <s v="Hatchback"/>
    <x v="41"/>
    <n v="-12"/>
  </r>
  <r>
    <x v="6"/>
    <s v="Swift"/>
    <x v="2"/>
    <n v="15728"/>
    <n v="172808"/>
    <s v="B2"/>
    <s v="Hatchback"/>
    <x v="41"/>
    <n v="-12"/>
  </r>
  <r>
    <x v="6"/>
    <s v="Swift"/>
    <x v="3"/>
    <n v="4094"/>
    <n v="172808"/>
    <s v="B2"/>
    <s v="Hatchback"/>
    <x v="41"/>
    <n v="-12"/>
  </r>
  <r>
    <x v="6"/>
    <s v="Swift"/>
    <x v="4"/>
    <n v="19393"/>
    <n v="172808"/>
    <s v="B2"/>
    <s v="Hatchback"/>
    <x v="41"/>
    <n v="-12"/>
  </r>
  <r>
    <x v="6"/>
    <s v="Swift"/>
    <x v="5"/>
    <n v="16422"/>
    <n v="172808"/>
    <s v="B2"/>
    <s v="Hatchback"/>
    <x v="41"/>
    <n v="-12"/>
  </r>
  <r>
    <x v="6"/>
    <s v="Swift"/>
    <x v="6"/>
    <n v="16854"/>
    <n v="172808"/>
    <s v="B2"/>
    <s v="Hatchback"/>
    <x v="41"/>
    <n v="-12"/>
  </r>
  <r>
    <x v="6"/>
    <s v="Swift"/>
    <x v="7"/>
    <n v="12844"/>
    <n v="172808"/>
    <s v="B2"/>
    <s v="Hatchback"/>
    <x v="41"/>
    <n v="-12"/>
  </r>
  <r>
    <x v="6"/>
    <s v="Swift"/>
    <x v="8"/>
    <n v="16241"/>
    <n v="172808"/>
    <s v="B2"/>
    <s v="Hatchback"/>
    <x v="41"/>
    <n v="-12"/>
  </r>
  <r>
    <x v="6"/>
    <s v="Swift"/>
    <x v="9"/>
    <n v="17539"/>
    <n v="172808"/>
    <s v="B2"/>
    <s v="Hatchback"/>
    <x v="41"/>
    <n v="-12"/>
  </r>
  <r>
    <x v="6"/>
    <s v="Swift"/>
    <x v="10"/>
    <n v="14737"/>
    <n v="172808"/>
    <s v="B2"/>
    <s v="Hatchback"/>
    <x v="41"/>
    <n v="-12"/>
  </r>
  <r>
    <x v="6"/>
    <s v="Swift"/>
    <x v="11"/>
    <n v="10421"/>
    <n v="172808"/>
    <s v="B2"/>
    <s v="Hatchback"/>
    <x v="41"/>
    <n v="-12"/>
  </r>
  <r>
    <x v="6"/>
    <s v="WagonR"/>
    <x v="0"/>
    <n v="17756"/>
    <n v="190855"/>
    <s v="B1"/>
    <s v="Hatchback"/>
    <x v="42"/>
    <n v="102"/>
  </r>
  <r>
    <x v="6"/>
    <s v="WagonR"/>
    <x v="1"/>
    <n v="19412"/>
    <n v="190855"/>
    <s v="B1"/>
    <s v="Hatchback"/>
    <x v="42"/>
    <n v="102"/>
  </r>
  <r>
    <x v="6"/>
    <s v="WagonR"/>
    <x v="2"/>
    <n v="16368"/>
    <n v="190855"/>
    <s v="B1"/>
    <s v="Hatchback"/>
    <x v="42"/>
    <n v="102"/>
  </r>
  <r>
    <x v="6"/>
    <s v="WagonR"/>
    <x v="3"/>
    <n v="17850"/>
    <n v="190855"/>
    <s v="B1"/>
    <s v="Hatchback"/>
    <x v="42"/>
    <n v="102"/>
  </r>
  <r>
    <x v="6"/>
    <s v="WagonR"/>
    <x v="4"/>
    <n v="14492"/>
    <n v="190855"/>
    <s v="B1"/>
    <s v="Hatchback"/>
    <x v="42"/>
    <n v="102"/>
  </r>
  <r>
    <x v="6"/>
    <s v="WagonR"/>
    <x v="5"/>
    <n v="13790"/>
    <n v="190855"/>
    <s v="B1"/>
    <s v="Hatchback"/>
    <x v="42"/>
    <n v="102"/>
  </r>
  <r>
    <x v="6"/>
    <s v="WagonR"/>
    <x v="6"/>
    <n v="16191"/>
    <n v="190855"/>
    <s v="B1"/>
    <s v="Hatchback"/>
    <x v="42"/>
    <n v="102"/>
  </r>
  <r>
    <x v="6"/>
    <s v="WagonR"/>
    <x v="7"/>
    <n v="16450"/>
    <n v="190855"/>
    <s v="B1"/>
    <s v="Hatchback"/>
    <x v="42"/>
    <n v="102"/>
  </r>
  <r>
    <x v="6"/>
    <s v="WagonR"/>
    <x v="8"/>
    <n v="13339"/>
    <n v="190855"/>
    <s v="B1"/>
    <s v="Hatchback"/>
    <x v="42"/>
    <n v="102"/>
  </r>
  <r>
    <x v="6"/>
    <s v="WagonR"/>
    <x v="9"/>
    <n v="13922"/>
    <n v="190855"/>
    <s v="B1"/>
    <s v="Hatchback"/>
    <x v="42"/>
    <n v="102"/>
  </r>
  <r>
    <x v="6"/>
    <s v="WagonR"/>
    <x v="10"/>
    <n v="13982"/>
    <n v="190855"/>
    <s v="B1"/>
    <s v="Hatchback"/>
    <x v="42"/>
    <n v="102"/>
  </r>
  <r>
    <x v="6"/>
    <s v="WagonR"/>
    <x v="11"/>
    <n v="17303"/>
    <n v="190855"/>
    <s v="B1"/>
    <s v="Hatchback"/>
    <x v="42"/>
    <n v="102"/>
  </r>
  <r>
    <x v="6"/>
    <s v="XL6"/>
    <x v="0"/>
    <n v="4363"/>
    <n v="40686"/>
    <s v="Utility"/>
    <s v="MUV"/>
    <x v="3"/>
    <n v="12"/>
  </r>
  <r>
    <x v="6"/>
    <s v="XL6"/>
    <x v="1"/>
    <n v="4093"/>
    <n v="40686"/>
    <s v="Utility"/>
    <s v="MUV"/>
    <x v="3"/>
    <n v="12"/>
  </r>
  <r>
    <x v="6"/>
    <s v="XL6"/>
    <x v="2"/>
    <n v="4505"/>
    <n v="40686"/>
    <s v="Utility"/>
    <s v="MUV"/>
    <x v="3"/>
    <n v="12"/>
  </r>
  <r>
    <x v="6"/>
    <s v="XL6"/>
    <x v="3"/>
    <n v="3509"/>
    <n v="40686"/>
    <s v="Utility"/>
    <s v="MUV"/>
    <x v="3"/>
    <n v="12"/>
  </r>
  <r>
    <x v="6"/>
    <s v="XL6"/>
    <x v="4"/>
    <n v="3241"/>
    <n v="40686"/>
    <s v="Utility"/>
    <s v="MUV"/>
    <x v="3"/>
    <n v="12"/>
  </r>
  <r>
    <x v="6"/>
    <s v="XL6"/>
    <x v="5"/>
    <n v="3323"/>
    <n v="40686"/>
    <s v="Utility"/>
    <s v="MUV"/>
    <x v="3"/>
    <n v="12"/>
  </r>
  <r>
    <x v="6"/>
    <s v="XL6"/>
    <x v="6"/>
    <n v="2923"/>
    <n v="40686"/>
    <s v="Utility"/>
    <s v="MUV"/>
    <x v="3"/>
    <n v="12"/>
  </r>
  <r>
    <x v="6"/>
    <s v="XL6"/>
    <x v="7"/>
    <n v="2740"/>
    <n v="40686"/>
    <s v="Utility"/>
    <s v="MUV"/>
    <x v="3"/>
    <n v="12"/>
  </r>
  <r>
    <x v="6"/>
    <s v="XL6"/>
    <x v="8"/>
    <n v="3734"/>
    <n v="40686"/>
    <s v="Utility"/>
    <s v="MUV"/>
    <x v="3"/>
    <n v="12"/>
  </r>
  <r>
    <x v="6"/>
    <s v="XL6"/>
    <x v="9"/>
    <n v="3285"/>
    <n v="40686"/>
    <s v="Utility"/>
    <s v="MUV"/>
    <x v="3"/>
    <n v="12"/>
  </r>
  <r>
    <x v="6"/>
    <s v="XL6"/>
    <x v="10"/>
    <n v="2483"/>
    <n v="40686"/>
    <s v="Utility"/>
    <s v="MUV"/>
    <x v="3"/>
    <n v="12"/>
  </r>
  <r>
    <x v="6"/>
    <s v="XL6"/>
    <x v="11"/>
    <n v="2487"/>
    <n v="40686"/>
    <s v="Utility"/>
    <s v="MUV"/>
    <x v="3"/>
    <n v="12"/>
  </r>
  <r>
    <x v="7"/>
    <s v="Astor"/>
    <x v="0"/>
    <n v="966"/>
    <n v="10865"/>
    <s v="C2"/>
    <s v="SUV"/>
    <x v="43"/>
    <n v="-15"/>
  </r>
  <r>
    <x v="7"/>
    <s v="Astor"/>
    <x v="1"/>
    <n v="1036"/>
    <n v="10865"/>
    <s v="C2"/>
    <s v="SUV"/>
    <x v="43"/>
    <n v="-15"/>
  </r>
  <r>
    <x v="7"/>
    <s v="Astor"/>
    <x v="2"/>
    <n v="1274"/>
    <n v="10865"/>
    <s v="C2"/>
    <s v="SUV"/>
    <x v="43"/>
    <n v="-15"/>
  </r>
  <r>
    <x v="7"/>
    <s v="Astor"/>
    <x v="3"/>
    <n v="1019"/>
    <n v="10865"/>
    <s v="C2"/>
    <s v="SUV"/>
    <x v="43"/>
    <n v="-15"/>
  </r>
  <r>
    <x v="7"/>
    <s v="Astor"/>
    <x v="4"/>
    <n v="991"/>
    <n v="10865"/>
    <s v="C2"/>
    <s v="SUV"/>
    <x v="43"/>
    <n v="-15"/>
  </r>
  <r>
    <x v="7"/>
    <s v="Astor"/>
    <x v="5"/>
    <n v="938"/>
    <n v="10865"/>
    <s v="C2"/>
    <s v="SUV"/>
    <x v="43"/>
    <n v="-15"/>
  </r>
  <r>
    <x v="7"/>
    <s v="Astor"/>
    <x v="6"/>
    <n v="929"/>
    <n v="10865"/>
    <s v="C2"/>
    <s v="SUV"/>
    <x v="43"/>
    <n v="-15"/>
  </r>
  <r>
    <x v="7"/>
    <s v="Astor"/>
    <x v="7"/>
    <n v="937"/>
    <n v="10865"/>
    <s v="C2"/>
    <s v="SUV"/>
    <x v="43"/>
    <n v="-15"/>
  </r>
  <r>
    <x v="7"/>
    <s v="Astor"/>
    <x v="8"/>
    <n v="760"/>
    <n v="10865"/>
    <s v="C2"/>
    <s v="SUV"/>
    <x v="43"/>
    <n v="-15"/>
  </r>
  <r>
    <x v="7"/>
    <s v="Astor"/>
    <x v="9"/>
    <n v="767"/>
    <n v="10865"/>
    <s v="C2"/>
    <s v="SUV"/>
    <x v="43"/>
    <n v="-15"/>
  </r>
  <r>
    <x v="7"/>
    <s v="Astor"/>
    <x v="10"/>
    <n v="548"/>
    <n v="10865"/>
    <s v="C2"/>
    <s v="SUV"/>
    <x v="43"/>
    <n v="-15"/>
  </r>
  <r>
    <x v="7"/>
    <s v="Astor"/>
    <x v="11"/>
    <n v="700"/>
    <n v="10865"/>
    <s v="C2"/>
    <s v="SUV"/>
    <x v="43"/>
    <n v="-15"/>
  </r>
  <r>
    <x v="7"/>
    <s v="Comet"/>
    <x v="0"/>
    <n v="505"/>
    <n v="11812"/>
    <s v="B1"/>
    <s v="Hatchback"/>
    <x v="44"/>
    <n v="-12"/>
  </r>
  <r>
    <x v="7"/>
    <s v="Comet"/>
    <x v="1"/>
    <n v="920"/>
    <n v="11812"/>
    <s v="B1"/>
    <s v="Hatchback"/>
    <x v="44"/>
    <n v="-12"/>
  </r>
  <r>
    <x v="7"/>
    <s v="Comet"/>
    <x v="2"/>
    <n v="875"/>
    <n v="11812"/>
    <s v="B1"/>
    <s v="Hatchback"/>
    <x v="44"/>
    <n v="-12"/>
  </r>
  <r>
    <x v="7"/>
    <s v="Comet"/>
    <x v="3"/>
    <n v="993"/>
    <n v="11812"/>
    <s v="B1"/>
    <s v="Hatchback"/>
    <x v="44"/>
    <n v="-12"/>
  </r>
  <r>
    <x v="7"/>
    <s v="Comet"/>
    <x v="4"/>
    <n v="1200"/>
    <n v="11812"/>
    <s v="B1"/>
    <s v="Hatchback"/>
    <x v="44"/>
    <n v="-12"/>
  </r>
  <r>
    <x v="7"/>
    <s v="Comet"/>
    <x v="5"/>
    <n v="1300"/>
    <n v="11812"/>
    <s v="B1"/>
    <s v="Hatchback"/>
    <x v="44"/>
    <n v="-12"/>
  </r>
  <r>
    <x v="7"/>
    <s v="Comet"/>
    <x v="6"/>
    <n v="1200"/>
    <n v="11812"/>
    <s v="B1"/>
    <s v="Hatchback"/>
    <x v="44"/>
    <n v="-12"/>
  </r>
  <r>
    <x v="7"/>
    <s v="Comet"/>
    <x v="7"/>
    <n v="1100"/>
    <n v="11812"/>
    <s v="B1"/>
    <s v="Hatchback"/>
    <x v="44"/>
    <n v="-12"/>
  </r>
  <r>
    <x v="7"/>
    <s v="Comet"/>
    <x v="8"/>
    <n v="1268"/>
    <n v="11812"/>
    <s v="B1"/>
    <s v="Hatchback"/>
    <x v="44"/>
    <n v="-12"/>
  </r>
  <r>
    <x v="7"/>
    <s v="Comet"/>
    <x v="9"/>
    <n v="1151"/>
    <n v="11812"/>
    <s v="B1"/>
    <s v="Hatchback"/>
    <x v="44"/>
    <n v="-12"/>
  </r>
  <r>
    <x v="7"/>
    <s v="Comet"/>
    <x v="10"/>
    <n v="600"/>
    <n v="11812"/>
    <s v="B1"/>
    <s v="Hatchback"/>
    <x v="44"/>
    <n v="-12"/>
  </r>
  <r>
    <x v="7"/>
    <s v="Comet"/>
    <x v="11"/>
    <n v="700"/>
    <n v="11812"/>
    <s v="B1"/>
    <s v="Hatchback"/>
    <x v="44"/>
    <n v="-12"/>
  </r>
  <r>
    <x v="7"/>
    <s v="Gloster"/>
    <x v="0"/>
    <n v="139"/>
    <n v="1870"/>
    <s v="D2"/>
    <s v="SUV"/>
    <x v="17"/>
    <n v="-29"/>
  </r>
  <r>
    <x v="7"/>
    <s v="Gloster"/>
    <x v="1"/>
    <n v="168"/>
    <n v="1870"/>
    <s v="D2"/>
    <s v="SUV"/>
    <x v="17"/>
    <n v="-29"/>
  </r>
  <r>
    <x v="7"/>
    <s v="Gloster"/>
    <x v="2"/>
    <n v="131"/>
    <n v="1870"/>
    <s v="D2"/>
    <s v="SUV"/>
    <x v="17"/>
    <n v="-29"/>
  </r>
  <r>
    <x v="7"/>
    <s v="Gloster"/>
    <x v="3"/>
    <n v="124"/>
    <n v="1870"/>
    <s v="D2"/>
    <s v="SUV"/>
    <x v="17"/>
    <n v="-29"/>
  </r>
  <r>
    <x v="7"/>
    <s v="Gloster"/>
    <x v="4"/>
    <n v="135"/>
    <n v="1870"/>
    <s v="D2"/>
    <s v="SUV"/>
    <x v="17"/>
    <n v="-29"/>
  </r>
  <r>
    <x v="7"/>
    <s v="Gloster"/>
    <x v="5"/>
    <n v="132"/>
    <n v="1870"/>
    <s v="D2"/>
    <s v="SUV"/>
    <x v="17"/>
    <n v="-29"/>
  </r>
  <r>
    <x v="7"/>
    <s v="Gloster"/>
    <x v="6"/>
    <n v="191"/>
    <n v="1870"/>
    <s v="D2"/>
    <s v="SUV"/>
    <x v="17"/>
    <n v="-29"/>
  </r>
  <r>
    <x v="7"/>
    <s v="Gloster"/>
    <x v="7"/>
    <n v="236"/>
    <n v="1870"/>
    <s v="D2"/>
    <s v="SUV"/>
    <x v="17"/>
    <n v="-29"/>
  </r>
  <r>
    <x v="7"/>
    <s v="Gloster"/>
    <x v="8"/>
    <n v="200"/>
    <n v="1870"/>
    <s v="D2"/>
    <s v="SUV"/>
    <x v="17"/>
    <n v="-29"/>
  </r>
  <r>
    <x v="7"/>
    <s v="Gloster"/>
    <x v="9"/>
    <n v="176"/>
    <n v="1870"/>
    <s v="D2"/>
    <s v="SUV"/>
    <x v="17"/>
    <n v="-29"/>
  </r>
  <r>
    <x v="7"/>
    <s v="Gloster"/>
    <x v="10"/>
    <n v="138"/>
    <n v="1870"/>
    <s v="D2"/>
    <s v="SUV"/>
    <x v="17"/>
    <n v="-29"/>
  </r>
  <r>
    <x v="7"/>
    <s v="Gloster"/>
    <x v="11"/>
    <n v="100"/>
    <n v="1870"/>
    <s v="D2"/>
    <s v="SUV"/>
    <x v="17"/>
    <n v="-29"/>
  </r>
  <r>
    <x v="7"/>
    <s v="Hector"/>
    <x v="0"/>
    <n v="1817"/>
    <n v="19639"/>
    <s v="D1"/>
    <s v="SUV"/>
    <x v="42"/>
    <n v="-37"/>
  </r>
  <r>
    <x v="7"/>
    <s v="Hector"/>
    <x v="1"/>
    <n v="1826"/>
    <n v="19639"/>
    <s v="D1"/>
    <s v="SUV"/>
    <x v="42"/>
    <n v="-37"/>
  </r>
  <r>
    <x v="7"/>
    <s v="Hector"/>
    <x v="2"/>
    <n v="1887"/>
    <n v="19639"/>
    <s v="D1"/>
    <s v="SUV"/>
    <x v="42"/>
    <n v="-37"/>
  </r>
  <r>
    <x v="7"/>
    <s v="Hector"/>
    <x v="3"/>
    <n v="1813"/>
    <n v="19639"/>
    <s v="D1"/>
    <s v="SUV"/>
    <x v="42"/>
    <n v="-37"/>
  </r>
  <r>
    <x v="7"/>
    <s v="Hector"/>
    <x v="4"/>
    <n v="1906"/>
    <n v="19639"/>
    <s v="D1"/>
    <s v="SUV"/>
    <x v="42"/>
    <n v="-37"/>
  </r>
  <r>
    <x v="7"/>
    <s v="Hector"/>
    <x v="5"/>
    <n v="1713"/>
    <n v="19639"/>
    <s v="D1"/>
    <s v="SUV"/>
    <x v="42"/>
    <n v="-37"/>
  </r>
  <r>
    <x v="7"/>
    <s v="Hector"/>
    <x v="6"/>
    <n v="1780"/>
    <n v="19639"/>
    <s v="D1"/>
    <s v="SUV"/>
    <x v="42"/>
    <n v="-37"/>
  </r>
  <r>
    <x v="7"/>
    <s v="Hector"/>
    <x v="7"/>
    <n v="1814"/>
    <n v="19639"/>
    <s v="D1"/>
    <s v="SUV"/>
    <x v="42"/>
    <n v="-37"/>
  </r>
  <r>
    <x v="7"/>
    <s v="Hector"/>
    <x v="8"/>
    <n v="1380"/>
    <n v="19639"/>
    <s v="D1"/>
    <s v="SUV"/>
    <x v="42"/>
    <n v="-37"/>
  </r>
  <r>
    <x v="7"/>
    <s v="Hector"/>
    <x v="9"/>
    <n v="1224"/>
    <n v="19639"/>
    <s v="D1"/>
    <s v="SUV"/>
    <x v="42"/>
    <n v="-37"/>
  </r>
  <r>
    <x v="7"/>
    <s v="Hector"/>
    <x v="10"/>
    <n v="1106"/>
    <n v="19639"/>
    <s v="D1"/>
    <s v="SUV"/>
    <x v="42"/>
    <n v="-37"/>
  </r>
  <r>
    <x v="7"/>
    <s v="Hector"/>
    <x v="11"/>
    <n v="1373"/>
    <n v="19639"/>
    <s v="D1"/>
    <s v="SUV"/>
    <x v="42"/>
    <n v="-37"/>
  </r>
  <r>
    <x v="7"/>
    <s v="Windsor"/>
    <x v="0"/>
    <n v="0"/>
    <n v="10045"/>
    <s v="C2"/>
    <s v="MUV"/>
    <x v="45"/>
    <n v="0"/>
  </r>
  <r>
    <x v="7"/>
    <s v="Windsor"/>
    <x v="1"/>
    <n v="0"/>
    <n v="10045"/>
    <s v="C2"/>
    <s v="MUV"/>
    <x v="45"/>
    <n v="0"/>
  </r>
  <r>
    <x v="7"/>
    <s v="Windsor"/>
    <x v="2"/>
    <n v="0"/>
    <n v="10045"/>
    <s v="C2"/>
    <s v="MUV"/>
    <x v="45"/>
    <n v="0"/>
  </r>
  <r>
    <x v="7"/>
    <s v="Windsor"/>
    <x v="3"/>
    <n v="0"/>
    <n v="10045"/>
    <s v="C2"/>
    <s v="MUV"/>
    <x v="45"/>
    <n v="0"/>
  </r>
  <r>
    <x v="7"/>
    <s v="Windsor"/>
    <x v="4"/>
    <n v="0"/>
    <n v="10045"/>
    <s v="C2"/>
    <s v="MUV"/>
    <x v="45"/>
    <n v="0"/>
  </r>
  <r>
    <x v="7"/>
    <s v="Windsor"/>
    <x v="5"/>
    <n v="0"/>
    <n v="10045"/>
    <s v="C2"/>
    <s v="MUV"/>
    <x v="45"/>
    <n v="0"/>
  </r>
  <r>
    <x v="7"/>
    <s v="Windsor"/>
    <x v="6"/>
    <n v="0"/>
    <n v="10045"/>
    <s v="C2"/>
    <s v="MUV"/>
    <x v="45"/>
    <n v="0"/>
  </r>
  <r>
    <x v="7"/>
    <s v="Windsor"/>
    <x v="7"/>
    <n v="0"/>
    <n v="10045"/>
    <s v="C2"/>
    <s v="MUV"/>
    <x v="45"/>
    <n v="0"/>
  </r>
  <r>
    <x v="7"/>
    <s v="Windsor"/>
    <x v="8"/>
    <n v="0"/>
    <n v="10045"/>
    <s v="C2"/>
    <s v="MUV"/>
    <x v="45"/>
    <n v="0"/>
  </r>
  <r>
    <x v="7"/>
    <s v="Windsor"/>
    <x v="9"/>
    <n v="3116"/>
    <n v="10045"/>
    <s v="C2"/>
    <s v="MUV"/>
    <x v="45"/>
    <n v="0"/>
  </r>
  <r>
    <x v="7"/>
    <s v="Windsor"/>
    <x v="10"/>
    <n v="3144"/>
    <n v="10045"/>
    <s v="C2"/>
    <s v="MUV"/>
    <x v="45"/>
    <n v="0"/>
  </r>
  <r>
    <x v="7"/>
    <s v="Windsor"/>
    <x v="11"/>
    <n v="3785"/>
    <n v="10045"/>
    <s v="C2"/>
    <s v="MUV"/>
    <x v="45"/>
    <n v="0"/>
  </r>
  <r>
    <x v="7"/>
    <s v="ZS EV"/>
    <x v="0"/>
    <n v="398"/>
    <n v="6983"/>
    <s v="Premium"/>
    <s v="SUV"/>
    <x v="26"/>
    <n v="85"/>
  </r>
  <r>
    <x v="7"/>
    <s v="ZS EV"/>
    <x v="1"/>
    <n v="582"/>
    <n v="6983"/>
    <s v="Premium"/>
    <s v="SUV"/>
    <x v="26"/>
    <n v="85"/>
  </r>
  <r>
    <x v="7"/>
    <s v="ZS EV"/>
    <x v="2"/>
    <n v="481"/>
    <n v="6983"/>
    <s v="Premium"/>
    <s v="SUV"/>
    <x v="26"/>
    <n v="85"/>
  </r>
  <r>
    <x v="7"/>
    <s v="ZS EV"/>
    <x v="3"/>
    <n v="536"/>
    <n v="6983"/>
    <s v="Premium"/>
    <s v="SUV"/>
    <x v="26"/>
    <n v="85"/>
  </r>
  <r>
    <x v="7"/>
    <s v="ZS EV"/>
    <x v="4"/>
    <n v="537"/>
    <n v="6983"/>
    <s v="Premium"/>
    <s v="SUV"/>
    <x v="26"/>
    <n v="85"/>
  </r>
  <r>
    <x v="7"/>
    <s v="ZS EV"/>
    <x v="5"/>
    <n v="561"/>
    <n v="6983"/>
    <s v="Premium"/>
    <s v="SUV"/>
    <x v="26"/>
    <n v="85"/>
  </r>
  <r>
    <x v="7"/>
    <s v="ZS EV"/>
    <x v="6"/>
    <n v="472"/>
    <n v="6983"/>
    <s v="Premium"/>
    <s v="SUV"/>
    <x v="26"/>
    <n v="85"/>
  </r>
  <r>
    <x v="7"/>
    <s v="ZS EV"/>
    <x v="7"/>
    <n v="484"/>
    <n v="6983"/>
    <s v="Premium"/>
    <s v="SUV"/>
    <x v="26"/>
    <n v="85"/>
  </r>
  <r>
    <x v="7"/>
    <s v="ZS EV"/>
    <x v="8"/>
    <n v="980"/>
    <n v="6983"/>
    <s v="Premium"/>
    <s v="SUV"/>
    <x v="26"/>
    <n v="85"/>
  </r>
  <r>
    <x v="7"/>
    <s v="ZS EV"/>
    <x v="9"/>
    <n v="611"/>
    <n v="6983"/>
    <s v="Premium"/>
    <s v="SUV"/>
    <x v="26"/>
    <n v="85"/>
  </r>
  <r>
    <x v="7"/>
    <s v="ZS EV"/>
    <x v="10"/>
    <n v="483"/>
    <n v="6983"/>
    <s v="Premium"/>
    <s v="SUV"/>
    <x v="26"/>
    <n v="85"/>
  </r>
  <r>
    <x v="7"/>
    <s v="ZS EV"/>
    <x v="11"/>
    <n v="858"/>
    <n v="6983"/>
    <s v="Premium"/>
    <s v="SUV"/>
    <x v="26"/>
    <n v="85"/>
  </r>
  <r>
    <x v="8"/>
    <s v="Magnite"/>
    <x v="0"/>
    <n v="2863"/>
    <n v="28987"/>
    <s v="C1"/>
    <s v="SUV"/>
    <x v="22"/>
    <n v="-2"/>
  </r>
  <r>
    <x v="8"/>
    <s v="Magnite"/>
    <x v="1"/>
    <n v="2755"/>
    <n v="28987"/>
    <s v="C1"/>
    <s v="SUV"/>
    <x v="22"/>
    <n v="-2"/>
  </r>
  <r>
    <x v="8"/>
    <s v="Magnite"/>
    <x v="2"/>
    <n v="2701"/>
    <n v="28987"/>
    <s v="C1"/>
    <s v="SUV"/>
    <x v="22"/>
    <n v="-2"/>
  </r>
  <r>
    <x v="8"/>
    <s v="Magnite"/>
    <x v="3"/>
    <n v="2404"/>
    <n v="28987"/>
    <s v="C1"/>
    <s v="SUV"/>
    <x v="22"/>
    <n v="-2"/>
  </r>
  <r>
    <x v="8"/>
    <s v="Magnite"/>
    <x v="4"/>
    <n v="2211"/>
    <n v="28987"/>
    <s v="C1"/>
    <s v="SUV"/>
    <x v="22"/>
    <n v="-2"/>
  </r>
  <r>
    <x v="8"/>
    <s v="Magnite"/>
    <x v="5"/>
    <n v="2107"/>
    <n v="28987"/>
    <s v="C1"/>
    <s v="SUV"/>
    <x v="22"/>
    <n v="-2"/>
  </r>
  <r>
    <x v="8"/>
    <s v="Magnite"/>
    <x v="6"/>
    <n v="2011"/>
    <n v="28987"/>
    <s v="C1"/>
    <s v="SUV"/>
    <x v="22"/>
    <n v="-2"/>
  </r>
  <r>
    <x v="8"/>
    <s v="Magnite"/>
    <x v="7"/>
    <n v="2257"/>
    <n v="28987"/>
    <s v="C1"/>
    <s v="SUV"/>
    <x v="22"/>
    <n v="-2"/>
  </r>
  <r>
    <x v="8"/>
    <s v="Magnite"/>
    <x v="8"/>
    <n v="2100"/>
    <n v="28987"/>
    <s v="C1"/>
    <s v="SUV"/>
    <x v="22"/>
    <n v="-2"/>
  </r>
  <r>
    <x v="8"/>
    <s v="Magnite"/>
    <x v="9"/>
    <n v="3119"/>
    <n v="28987"/>
    <s v="C1"/>
    <s v="SUV"/>
    <x v="22"/>
    <n v="-2"/>
  </r>
  <r>
    <x v="8"/>
    <s v="Magnite"/>
    <x v="10"/>
    <n v="2342"/>
    <n v="28987"/>
    <s v="C1"/>
    <s v="SUV"/>
    <x v="22"/>
    <n v="-2"/>
  </r>
  <r>
    <x v="8"/>
    <s v="Magnite"/>
    <x v="11"/>
    <n v="2117"/>
    <n v="28987"/>
    <s v="C1"/>
    <s v="SUV"/>
    <x v="22"/>
    <n v="-2"/>
  </r>
  <r>
    <x v="8"/>
    <s v="X-Trail"/>
    <x v="0"/>
    <n v="0"/>
    <n v="22"/>
    <s v="D2"/>
    <s v="SUV"/>
    <x v="3"/>
    <n v="0"/>
  </r>
  <r>
    <x v="8"/>
    <s v="X-Trail"/>
    <x v="1"/>
    <n v="0"/>
    <n v="22"/>
    <s v="D2"/>
    <s v="SUV"/>
    <x v="3"/>
    <n v="0"/>
  </r>
  <r>
    <x v="8"/>
    <s v="X-Trail"/>
    <x v="2"/>
    <n v="0"/>
    <n v="22"/>
    <s v="D2"/>
    <s v="SUV"/>
    <x v="3"/>
    <n v="0"/>
  </r>
  <r>
    <x v="8"/>
    <s v="X-Trail"/>
    <x v="3"/>
    <n v="0"/>
    <n v="22"/>
    <s v="D2"/>
    <s v="SUV"/>
    <x v="3"/>
    <n v="0"/>
  </r>
  <r>
    <x v="8"/>
    <s v="X-Trail"/>
    <x v="4"/>
    <n v="0"/>
    <n v="22"/>
    <s v="D2"/>
    <s v="SUV"/>
    <x v="3"/>
    <n v="0"/>
  </r>
  <r>
    <x v="8"/>
    <s v="X-Trail"/>
    <x v="5"/>
    <n v="0"/>
    <n v="22"/>
    <s v="D2"/>
    <s v="SUV"/>
    <x v="3"/>
    <n v="0"/>
  </r>
  <r>
    <x v="8"/>
    <s v="X-Trail"/>
    <x v="6"/>
    <n v="0"/>
    <n v="22"/>
    <s v="D2"/>
    <s v="SUV"/>
    <x v="3"/>
    <n v="0"/>
  </r>
  <r>
    <x v="8"/>
    <s v="X-Trail"/>
    <x v="7"/>
    <n v="6"/>
    <n v="22"/>
    <s v="D2"/>
    <s v="SUV"/>
    <x v="3"/>
    <n v="0"/>
  </r>
  <r>
    <x v="8"/>
    <s v="X-Trail"/>
    <x v="8"/>
    <n v="13"/>
    <n v="22"/>
    <s v="D2"/>
    <s v="SUV"/>
    <x v="3"/>
    <n v="0"/>
  </r>
  <r>
    <x v="8"/>
    <s v="X-Trail"/>
    <x v="9"/>
    <n v="2"/>
    <n v="22"/>
    <s v="D2"/>
    <s v="SUV"/>
    <x v="3"/>
    <n v="0"/>
  </r>
  <r>
    <x v="8"/>
    <s v="X-Trail"/>
    <x v="10"/>
    <n v="0"/>
    <n v="22"/>
    <s v="D2"/>
    <s v="SUV"/>
    <x v="3"/>
    <n v="0"/>
  </r>
  <r>
    <x v="8"/>
    <s v="X-Trail"/>
    <x v="11"/>
    <n v="1"/>
    <n v="22"/>
    <s v="D2"/>
    <s v="SUV"/>
    <x v="3"/>
    <n v="0"/>
  </r>
  <r>
    <x v="9"/>
    <s v="Kiger"/>
    <x v="0"/>
    <n v="750"/>
    <n v="11000"/>
    <s v="C1"/>
    <s v="SUV"/>
    <x v="46"/>
    <n v="-31"/>
  </r>
  <r>
    <x v="9"/>
    <s v="Kiger"/>
    <x v="1"/>
    <n v="1047"/>
    <n v="11000"/>
    <s v="C1"/>
    <s v="SUV"/>
    <x v="46"/>
    <n v="-31"/>
  </r>
  <r>
    <x v="9"/>
    <s v="Kiger"/>
    <x v="2"/>
    <n v="1050"/>
    <n v="11000"/>
    <s v="C1"/>
    <s v="SUV"/>
    <x v="46"/>
    <n v="-31"/>
  </r>
  <r>
    <x v="9"/>
    <s v="Kiger"/>
    <x v="3"/>
    <n v="1059"/>
    <n v="11000"/>
    <s v="C1"/>
    <s v="SUV"/>
    <x v="46"/>
    <n v="-31"/>
  </r>
  <r>
    <x v="9"/>
    <s v="Kiger"/>
    <x v="4"/>
    <n v="850"/>
    <n v="11000"/>
    <s v="C1"/>
    <s v="SUV"/>
    <x v="46"/>
    <n v="-31"/>
  </r>
  <r>
    <x v="9"/>
    <s v="Kiger"/>
    <x v="5"/>
    <n v="1150"/>
    <n v="11000"/>
    <s v="C1"/>
    <s v="SUV"/>
    <x v="46"/>
    <n v="-31"/>
  </r>
  <r>
    <x v="9"/>
    <s v="Kiger"/>
    <x v="6"/>
    <n v="810"/>
    <n v="11000"/>
    <s v="C1"/>
    <s v="SUV"/>
    <x v="46"/>
    <n v="-31"/>
  </r>
  <r>
    <x v="9"/>
    <s v="Kiger"/>
    <x v="7"/>
    <n v="870"/>
    <n v="11000"/>
    <s v="C1"/>
    <s v="SUV"/>
    <x v="46"/>
    <n v="-31"/>
  </r>
  <r>
    <x v="9"/>
    <s v="Kiger"/>
    <x v="8"/>
    <n v="988"/>
    <n v="11000"/>
    <s v="C1"/>
    <s v="SUV"/>
    <x v="46"/>
    <n v="-31"/>
  </r>
  <r>
    <x v="9"/>
    <s v="Kiger"/>
    <x v="9"/>
    <n v="1053"/>
    <n v="11000"/>
    <s v="C1"/>
    <s v="SUV"/>
    <x v="46"/>
    <n v="-31"/>
  </r>
  <r>
    <x v="9"/>
    <s v="Kiger"/>
    <x v="10"/>
    <n v="779"/>
    <n v="11000"/>
    <s v="C1"/>
    <s v="SUV"/>
    <x v="46"/>
    <n v="-31"/>
  </r>
  <r>
    <x v="9"/>
    <s v="Kiger"/>
    <x v="11"/>
    <n v="594"/>
    <n v="11000"/>
    <s v="C1"/>
    <s v="SUV"/>
    <x v="46"/>
    <n v="-31"/>
  </r>
  <r>
    <x v="9"/>
    <s v="Kwid"/>
    <x v="0"/>
    <n v="856"/>
    <n v="8705"/>
    <s v="A"/>
    <s v="Hatchback"/>
    <x v="47"/>
    <n v="37"/>
  </r>
  <r>
    <x v="9"/>
    <s v="Kwid"/>
    <x v="1"/>
    <n v="828"/>
    <n v="8705"/>
    <s v="A"/>
    <s v="Hatchback"/>
    <x v="47"/>
    <n v="37"/>
  </r>
  <r>
    <x v="9"/>
    <s v="Kwid"/>
    <x v="2"/>
    <n v="928"/>
    <n v="8705"/>
    <s v="A"/>
    <s v="Hatchback"/>
    <x v="47"/>
    <n v="37"/>
  </r>
  <r>
    <x v="9"/>
    <s v="Kwid"/>
    <x v="3"/>
    <n v="977"/>
    <n v="8705"/>
    <s v="A"/>
    <s v="Hatchback"/>
    <x v="47"/>
    <n v="37"/>
  </r>
  <r>
    <x v="9"/>
    <s v="Kwid"/>
    <x v="4"/>
    <n v="743"/>
    <n v="8705"/>
    <s v="A"/>
    <s v="Hatchback"/>
    <x v="47"/>
    <n v="37"/>
  </r>
  <r>
    <x v="9"/>
    <s v="Kwid"/>
    <x v="5"/>
    <n v="603"/>
    <n v="8705"/>
    <s v="A"/>
    <s v="Hatchback"/>
    <x v="47"/>
    <n v="37"/>
  </r>
  <r>
    <x v="9"/>
    <s v="Kwid"/>
    <x v="6"/>
    <n v="565"/>
    <n v="8705"/>
    <s v="A"/>
    <s v="Hatchback"/>
    <x v="47"/>
    <n v="37"/>
  </r>
  <r>
    <x v="9"/>
    <s v="Kwid"/>
    <x v="7"/>
    <n v="634"/>
    <n v="8705"/>
    <s v="A"/>
    <s v="Hatchback"/>
    <x v="47"/>
    <n v="37"/>
  </r>
  <r>
    <x v="9"/>
    <s v="Kwid"/>
    <x v="8"/>
    <n v="691"/>
    <n v="8705"/>
    <s v="A"/>
    <s v="Hatchback"/>
    <x v="47"/>
    <n v="37"/>
  </r>
  <r>
    <x v="9"/>
    <s v="Kwid"/>
    <x v="9"/>
    <n v="706"/>
    <n v="8705"/>
    <s v="A"/>
    <s v="Hatchback"/>
    <x v="47"/>
    <n v="37"/>
  </r>
  <r>
    <x v="9"/>
    <s v="Kwid"/>
    <x v="10"/>
    <n v="546"/>
    <n v="8705"/>
    <s v="A"/>
    <s v="Hatchback"/>
    <x v="47"/>
    <n v="37"/>
  </r>
  <r>
    <x v="9"/>
    <s v="Kwid"/>
    <x v="11"/>
    <n v="628"/>
    <n v="8705"/>
    <s v="A"/>
    <s v="Hatchback"/>
    <x v="47"/>
    <n v="37"/>
  </r>
  <r>
    <x v="9"/>
    <s v="Triber"/>
    <x v="0"/>
    <n v="2220"/>
    <n v="22024"/>
    <s v="Utility"/>
    <s v="MUV"/>
    <x v="48"/>
    <n v="149"/>
  </r>
  <r>
    <x v="9"/>
    <s v="Triber"/>
    <x v="1"/>
    <n v="2205"/>
    <n v="22024"/>
    <s v="Utility"/>
    <s v="MUV"/>
    <x v="48"/>
    <n v="149"/>
  </r>
  <r>
    <x v="9"/>
    <s v="Triber"/>
    <x v="2"/>
    <n v="2247"/>
    <n v="22024"/>
    <s v="Utility"/>
    <s v="MUV"/>
    <x v="48"/>
    <n v="149"/>
  </r>
  <r>
    <x v="9"/>
    <s v="Triber"/>
    <x v="3"/>
    <n v="1671"/>
    <n v="22024"/>
    <s v="Utility"/>
    <s v="MUV"/>
    <x v="48"/>
    <n v="149"/>
  </r>
  <r>
    <x v="9"/>
    <s v="Triber"/>
    <x v="4"/>
    <n v="2116"/>
    <n v="22024"/>
    <s v="Utility"/>
    <s v="MUV"/>
    <x v="48"/>
    <n v="149"/>
  </r>
  <r>
    <x v="9"/>
    <s v="Triber"/>
    <x v="5"/>
    <n v="1800"/>
    <n v="22024"/>
    <s v="Utility"/>
    <s v="MUV"/>
    <x v="48"/>
    <n v="149"/>
  </r>
  <r>
    <x v="9"/>
    <s v="Triber"/>
    <x v="6"/>
    <n v="1457"/>
    <n v="22024"/>
    <s v="Utility"/>
    <s v="MUV"/>
    <x v="48"/>
    <n v="149"/>
  </r>
  <r>
    <x v="9"/>
    <s v="Triber"/>
    <x v="7"/>
    <n v="1514"/>
    <n v="22024"/>
    <s v="Utility"/>
    <s v="MUV"/>
    <x v="48"/>
    <n v="149"/>
  </r>
  <r>
    <x v="9"/>
    <s v="Triber"/>
    <x v="8"/>
    <n v="1538"/>
    <n v="22024"/>
    <s v="Utility"/>
    <s v="MUV"/>
    <x v="48"/>
    <n v="149"/>
  </r>
  <r>
    <x v="9"/>
    <s v="Triber"/>
    <x v="9"/>
    <n v="2111"/>
    <n v="22024"/>
    <s v="Utility"/>
    <s v="MUV"/>
    <x v="48"/>
    <n v="149"/>
  </r>
  <r>
    <x v="9"/>
    <s v="Triber"/>
    <x v="10"/>
    <n v="1486"/>
    <n v="22024"/>
    <s v="Utility"/>
    <s v="MUV"/>
    <x v="48"/>
    <n v="149"/>
  </r>
  <r>
    <x v="9"/>
    <s v="Triber"/>
    <x v="11"/>
    <n v="1659"/>
    <n v="22024"/>
    <s v="Utility"/>
    <s v="MUV"/>
    <x v="48"/>
    <n v="149"/>
  </r>
  <r>
    <x v="10"/>
    <s v="Kodiaq"/>
    <x v="0"/>
    <n v="53"/>
    <n v="1907"/>
    <s v="D2"/>
    <s v="SUV"/>
    <x v="49"/>
    <n v="-14"/>
  </r>
  <r>
    <x v="10"/>
    <s v="Kodiaq"/>
    <x v="1"/>
    <n v="89"/>
    <n v="1907"/>
    <s v="D2"/>
    <s v="SUV"/>
    <x v="49"/>
    <n v="-14"/>
  </r>
  <r>
    <x v="10"/>
    <s v="Kodiaq"/>
    <x v="2"/>
    <n v="136"/>
    <n v="1907"/>
    <s v="D2"/>
    <s v="SUV"/>
    <x v="49"/>
    <n v="-14"/>
  </r>
  <r>
    <x v="10"/>
    <s v="Kodiaq"/>
    <x v="3"/>
    <n v="154"/>
    <n v="1907"/>
    <s v="D2"/>
    <s v="SUV"/>
    <x v="49"/>
    <n v="-14"/>
  </r>
  <r>
    <x v="10"/>
    <s v="Kodiaq"/>
    <x v="4"/>
    <n v="185"/>
    <n v="1907"/>
    <s v="D2"/>
    <s v="SUV"/>
    <x v="49"/>
    <n v="-14"/>
  </r>
  <r>
    <x v="10"/>
    <s v="Kodiaq"/>
    <x v="5"/>
    <n v="137"/>
    <n v="1907"/>
    <s v="D2"/>
    <s v="SUV"/>
    <x v="49"/>
    <n v="-14"/>
  </r>
  <r>
    <x v="10"/>
    <s v="Kodiaq"/>
    <x v="6"/>
    <n v="240"/>
    <n v="1907"/>
    <s v="D2"/>
    <s v="SUV"/>
    <x v="49"/>
    <n v="-14"/>
  </r>
  <r>
    <x v="10"/>
    <s v="Kodiaq"/>
    <x v="7"/>
    <n v="145"/>
    <n v="1907"/>
    <s v="D2"/>
    <s v="SUV"/>
    <x v="49"/>
    <n v="-14"/>
  </r>
  <r>
    <x v="10"/>
    <s v="Kodiaq"/>
    <x v="8"/>
    <n v="140"/>
    <n v="1907"/>
    <s v="D2"/>
    <s v="SUV"/>
    <x v="49"/>
    <n v="-14"/>
  </r>
  <r>
    <x v="10"/>
    <s v="Kodiaq"/>
    <x v="9"/>
    <n v="209"/>
    <n v="1907"/>
    <s v="D2"/>
    <s v="SUV"/>
    <x v="49"/>
    <n v="-14"/>
  </r>
  <r>
    <x v="10"/>
    <s v="Kodiaq"/>
    <x v="10"/>
    <n v="225"/>
    <n v="1907"/>
    <s v="D2"/>
    <s v="SUV"/>
    <x v="49"/>
    <n v="-14"/>
  </r>
  <r>
    <x v="10"/>
    <s v="Kodiaq"/>
    <x v="11"/>
    <n v="194"/>
    <n v="1907"/>
    <s v="D2"/>
    <s v="SUV"/>
    <x v="49"/>
    <n v="-14"/>
  </r>
  <r>
    <x v="10"/>
    <s v="Kushaq"/>
    <x v="0"/>
    <n v="1082"/>
    <n v="17567"/>
    <s v="C2"/>
    <s v="SUV"/>
    <x v="50"/>
    <n v="-1"/>
  </r>
  <r>
    <x v="10"/>
    <s v="Kushaq"/>
    <x v="1"/>
    <n v="1137"/>
    <n v="17567"/>
    <s v="C2"/>
    <s v="SUV"/>
    <x v="50"/>
    <n v="-1"/>
  </r>
  <r>
    <x v="10"/>
    <s v="Kushaq"/>
    <x v="2"/>
    <n v="1293"/>
    <n v="17567"/>
    <s v="C2"/>
    <s v="SUV"/>
    <x v="50"/>
    <n v="-1"/>
  </r>
  <r>
    <x v="10"/>
    <s v="Kushaq"/>
    <x v="3"/>
    <n v="1159"/>
    <n v="17567"/>
    <s v="C2"/>
    <s v="SUV"/>
    <x v="50"/>
    <n v="-1"/>
  </r>
  <r>
    <x v="10"/>
    <s v="Kushaq"/>
    <x v="4"/>
    <n v="1157"/>
    <n v="17567"/>
    <s v="C2"/>
    <s v="SUV"/>
    <x v="50"/>
    <n v="-1"/>
  </r>
  <r>
    <x v="10"/>
    <s v="Kushaq"/>
    <x v="5"/>
    <n v="1198"/>
    <n v="17567"/>
    <s v="C2"/>
    <s v="SUV"/>
    <x v="50"/>
    <n v="-1"/>
  </r>
  <r>
    <x v="10"/>
    <s v="Kushaq"/>
    <x v="6"/>
    <n v="1070"/>
    <n v="17567"/>
    <s v="C2"/>
    <s v="SUV"/>
    <x v="50"/>
    <n v="-1"/>
  </r>
  <r>
    <x v="10"/>
    <s v="Kushaq"/>
    <x v="7"/>
    <n v="1502"/>
    <n v="17567"/>
    <s v="C2"/>
    <s v="SUV"/>
    <x v="50"/>
    <n v="-1"/>
  </r>
  <r>
    <x v="10"/>
    <s v="Kushaq"/>
    <x v="8"/>
    <n v="1767"/>
    <n v="17567"/>
    <s v="C2"/>
    <s v="SUV"/>
    <x v="50"/>
    <n v="-1"/>
  </r>
  <r>
    <x v="10"/>
    <s v="Kushaq"/>
    <x v="9"/>
    <n v="2213"/>
    <n v="17567"/>
    <s v="C2"/>
    <s v="SUV"/>
    <x v="50"/>
    <n v="-1"/>
  </r>
  <r>
    <x v="10"/>
    <s v="Kushaq"/>
    <x v="10"/>
    <n v="1524"/>
    <n v="17567"/>
    <s v="C2"/>
    <s v="SUV"/>
    <x v="50"/>
    <n v="-1"/>
  </r>
  <r>
    <x v="10"/>
    <s v="Kushaq"/>
    <x v="11"/>
    <n v="2465"/>
    <n v="17567"/>
    <s v="C2"/>
    <s v="SUV"/>
    <x v="50"/>
    <n v="-1"/>
  </r>
  <r>
    <x v="10"/>
    <s v="Slavia"/>
    <x v="0"/>
    <n v="1242"/>
    <n v="15617"/>
    <s v="C2"/>
    <s v="Sedan"/>
    <x v="51"/>
    <n v="-3"/>
  </r>
  <r>
    <x v="10"/>
    <s v="Slavia"/>
    <x v="1"/>
    <n v="1028"/>
    <n v="15617"/>
    <s v="C2"/>
    <s v="Sedan"/>
    <x v="51"/>
    <n v="-3"/>
  </r>
  <r>
    <x v="10"/>
    <s v="Slavia"/>
    <x v="2"/>
    <n v="1358"/>
    <n v="15617"/>
    <s v="C2"/>
    <s v="Sedan"/>
    <x v="51"/>
    <n v="-3"/>
  </r>
  <r>
    <x v="10"/>
    <s v="Slavia"/>
    <x v="3"/>
    <n v="1253"/>
    <n v="15617"/>
    <s v="C2"/>
    <s v="Sedan"/>
    <x v="51"/>
    <n v="-3"/>
  </r>
  <r>
    <x v="10"/>
    <s v="Slavia"/>
    <x v="4"/>
    <n v="1538"/>
    <n v="15617"/>
    <s v="C2"/>
    <s v="Sedan"/>
    <x v="51"/>
    <n v="-3"/>
  </r>
  <r>
    <x v="10"/>
    <s v="Slavia"/>
    <x v="5"/>
    <n v="1230"/>
    <n v="15617"/>
    <s v="C2"/>
    <s v="Sedan"/>
    <x v="51"/>
    <n v="-3"/>
  </r>
  <r>
    <x v="10"/>
    <s v="Slavia"/>
    <x v="6"/>
    <n v="793"/>
    <n v="15617"/>
    <s v="C2"/>
    <s v="Sedan"/>
    <x v="51"/>
    <n v="-3"/>
  </r>
  <r>
    <x v="10"/>
    <s v="Slavia"/>
    <x v="7"/>
    <n v="1122"/>
    <n v="15617"/>
    <s v="C2"/>
    <s v="Sedan"/>
    <x v="51"/>
    <n v="-3"/>
  </r>
  <r>
    <x v="10"/>
    <s v="Slavia"/>
    <x v="8"/>
    <n v="1391"/>
    <n v="15617"/>
    <s v="C2"/>
    <s v="Sedan"/>
    <x v="51"/>
    <n v="-3"/>
  </r>
  <r>
    <x v="10"/>
    <s v="Slavia"/>
    <x v="9"/>
    <n v="1637"/>
    <n v="15617"/>
    <s v="C2"/>
    <s v="Sedan"/>
    <x v="51"/>
    <n v="-3"/>
  </r>
  <r>
    <x v="10"/>
    <s v="Slavia"/>
    <x v="10"/>
    <n v="1131"/>
    <n v="15617"/>
    <s v="C2"/>
    <s v="Sedan"/>
    <x v="51"/>
    <n v="-3"/>
  </r>
  <r>
    <x v="10"/>
    <s v="Slavia"/>
    <x v="11"/>
    <n v="1894"/>
    <n v="15617"/>
    <s v="C2"/>
    <s v="Sedan"/>
    <x v="51"/>
    <n v="-3"/>
  </r>
  <r>
    <x v="10"/>
    <s v="Superb"/>
    <x v="0"/>
    <n v="0"/>
    <n v="66"/>
    <s v="D2"/>
    <s v="Sedan"/>
    <x v="52"/>
    <n v="0"/>
  </r>
  <r>
    <x v="10"/>
    <s v="Superb"/>
    <x v="1"/>
    <n v="0"/>
    <n v="66"/>
    <s v="D2"/>
    <s v="Sedan"/>
    <x v="52"/>
    <n v="0"/>
  </r>
  <r>
    <x v="10"/>
    <s v="Superb"/>
    <x v="2"/>
    <n v="15"/>
    <n v="66"/>
    <s v="D2"/>
    <s v="Sedan"/>
    <x v="52"/>
    <n v="0"/>
  </r>
  <r>
    <x v="10"/>
    <s v="Superb"/>
    <x v="3"/>
    <n v="13"/>
    <n v="66"/>
    <s v="D2"/>
    <s v="Sedan"/>
    <x v="52"/>
    <n v="0"/>
  </r>
  <r>
    <x v="10"/>
    <s v="Superb"/>
    <x v="4"/>
    <n v="4"/>
    <n v="66"/>
    <s v="D2"/>
    <s v="Sedan"/>
    <x v="52"/>
    <n v="0"/>
  </r>
  <r>
    <x v="10"/>
    <s v="Superb"/>
    <x v="5"/>
    <n v="1"/>
    <n v="66"/>
    <s v="D2"/>
    <s v="Sedan"/>
    <x v="52"/>
    <n v="0"/>
  </r>
  <r>
    <x v="10"/>
    <s v="Superb"/>
    <x v="6"/>
    <n v="0"/>
    <n v="66"/>
    <s v="D2"/>
    <s v="Sedan"/>
    <x v="52"/>
    <n v="0"/>
  </r>
  <r>
    <x v="10"/>
    <s v="Superb"/>
    <x v="7"/>
    <n v="3"/>
    <n v="66"/>
    <s v="D2"/>
    <s v="Sedan"/>
    <x v="52"/>
    <n v="0"/>
  </r>
  <r>
    <x v="10"/>
    <s v="Superb"/>
    <x v="8"/>
    <n v="3"/>
    <n v="66"/>
    <s v="D2"/>
    <s v="Sedan"/>
    <x v="52"/>
    <n v="0"/>
  </r>
  <r>
    <x v="10"/>
    <s v="Superb"/>
    <x v="9"/>
    <n v="20"/>
    <n v="66"/>
    <s v="D2"/>
    <s v="Sedan"/>
    <x v="52"/>
    <n v="0"/>
  </r>
  <r>
    <x v="10"/>
    <s v="Superb"/>
    <x v="10"/>
    <n v="6"/>
    <n v="66"/>
    <s v="D2"/>
    <s v="Sedan"/>
    <x v="52"/>
    <n v="0"/>
  </r>
  <r>
    <x v="10"/>
    <s v="Superb"/>
    <x v="11"/>
    <n v="1"/>
    <n v="66"/>
    <s v="D2"/>
    <s v="Sedan"/>
    <x v="52"/>
    <n v="0"/>
  </r>
  <r>
    <x v="11"/>
    <s v="Altroz"/>
    <x v="0"/>
    <n v="4935"/>
    <n v="45380"/>
    <s v="B2"/>
    <s v="Hatchback"/>
    <x v="22"/>
    <n v="-54"/>
  </r>
  <r>
    <x v="11"/>
    <s v="Altroz"/>
    <x v="1"/>
    <n v="4568"/>
    <n v="45380"/>
    <s v="B2"/>
    <s v="Hatchback"/>
    <x v="22"/>
    <n v="-54"/>
  </r>
  <r>
    <x v="11"/>
    <s v="Altroz"/>
    <x v="2"/>
    <n v="5985"/>
    <n v="45380"/>
    <s v="B2"/>
    <s v="Hatchback"/>
    <x v="22"/>
    <n v="-54"/>
  </r>
  <r>
    <x v="11"/>
    <s v="Altroz"/>
    <x v="3"/>
    <n v="5148"/>
    <n v="45380"/>
    <s v="B2"/>
    <s v="Hatchback"/>
    <x v="22"/>
    <n v="-54"/>
  </r>
  <r>
    <x v="11"/>
    <s v="Altroz"/>
    <x v="4"/>
    <n v="4983"/>
    <n v="45380"/>
    <s v="B2"/>
    <s v="Hatchback"/>
    <x v="22"/>
    <n v="-54"/>
  </r>
  <r>
    <x v="11"/>
    <s v="Altroz"/>
    <x v="5"/>
    <n v="3937"/>
    <n v="45380"/>
    <s v="B2"/>
    <s v="Hatchback"/>
    <x v="22"/>
    <n v="-54"/>
  </r>
  <r>
    <x v="11"/>
    <s v="Altroz"/>
    <x v="6"/>
    <n v="3444"/>
    <n v="45380"/>
    <s v="B2"/>
    <s v="Hatchback"/>
    <x v="22"/>
    <n v="-54"/>
  </r>
  <r>
    <x v="11"/>
    <s v="Altroz"/>
    <x v="7"/>
    <n v="3031"/>
    <n v="45380"/>
    <s v="B2"/>
    <s v="Hatchback"/>
    <x v="22"/>
    <n v="-54"/>
  </r>
  <r>
    <x v="11"/>
    <s v="Altroz"/>
    <x v="8"/>
    <n v="2758"/>
    <n v="45380"/>
    <s v="B2"/>
    <s v="Hatchback"/>
    <x v="22"/>
    <n v="-54"/>
  </r>
  <r>
    <x v="11"/>
    <s v="Altroz"/>
    <x v="9"/>
    <n v="2642"/>
    <n v="45380"/>
    <s v="B2"/>
    <s v="Hatchback"/>
    <x v="22"/>
    <n v="-54"/>
  </r>
  <r>
    <x v="11"/>
    <s v="Altroz"/>
    <x v="10"/>
    <n v="2083"/>
    <n v="45380"/>
    <s v="B2"/>
    <s v="Hatchback"/>
    <x v="22"/>
    <n v="-54"/>
  </r>
  <r>
    <x v="11"/>
    <s v="Altroz"/>
    <x v="11"/>
    <n v="1866"/>
    <n v="45380"/>
    <s v="B2"/>
    <s v="Hatchback"/>
    <x v="22"/>
    <n v="-54"/>
  </r>
  <r>
    <x v="11"/>
    <s v="Curvv"/>
    <x v="0"/>
    <n v="0"/>
    <n v="23664"/>
    <s v="C2"/>
    <s v="SUV"/>
    <x v="53"/>
    <n v="0"/>
  </r>
  <r>
    <x v="11"/>
    <s v="Curvv"/>
    <x v="1"/>
    <n v="0"/>
    <n v="23664"/>
    <s v="C2"/>
    <s v="SUV"/>
    <x v="53"/>
    <n v="0"/>
  </r>
  <r>
    <x v="11"/>
    <s v="Curvv"/>
    <x v="2"/>
    <n v="0"/>
    <n v="23664"/>
    <s v="C2"/>
    <s v="SUV"/>
    <x v="53"/>
    <n v="0"/>
  </r>
  <r>
    <x v="11"/>
    <s v="Curvv"/>
    <x v="3"/>
    <n v="0"/>
    <n v="23664"/>
    <s v="C2"/>
    <s v="SUV"/>
    <x v="53"/>
    <n v="0"/>
  </r>
  <r>
    <x v="11"/>
    <s v="Curvv"/>
    <x v="4"/>
    <n v="0"/>
    <n v="23664"/>
    <s v="C2"/>
    <s v="SUV"/>
    <x v="53"/>
    <n v="0"/>
  </r>
  <r>
    <x v="11"/>
    <s v="Curvv"/>
    <x v="5"/>
    <n v="0"/>
    <n v="23664"/>
    <s v="C2"/>
    <s v="SUV"/>
    <x v="53"/>
    <n v="0"/>
  </r>
  <r>
    <x v="11"/>
    <s v="Curvv"/>
    <x v="6"/>
    <n v="0"/>
    <n v="23664"/>
    <s v="C2"/>
    <s v="SUV"/>
    <x v="53"/>
    <n v="0"/>
  </r>
  <r>
    <x v="11"/>
    <s v="Curvv"/>
    <x v="7"/>
    <n v="3455"/>
    <n v="23664"/>
    <s v="C2"/>
    <s v="SUV"/>
    <x v="53"/>
    <n v="0"/>
  </r>
  <r>
    <x v="11"/>
    <s v="Curvv"/>
    <x v="8"/>
    <n v="4763"/>
    <n v="23664"/>
    <s v="C2"/>
    <s v="SUV"/>
    <x v="53"/>
    <n v="0"/>
  </r>
  <r>
    <x v="11"/>
    <s v="Curvv"/>
    <x v="9"/>
    <n v="5351"/>
    <n v="23664"/>
    <s v="C2"/>
    <s v="SUV"/>
    <x v="53"/>
    <n v="0"/>
  </r>
  <r>
    <x v="11"/>
    <s v="Curvv"/>
    <x v="10"/>
    <n v="5101"/>
    <n v="23664"/>
    <s v="C2"/>
    <s v="SUV"/>
    <x v="53"/>
    <n v="0"/>
  </r>
  <r>
    <x v="11"/>
    <s v="Curvv"/>
    <x v="11"/>
    <n v="4994"/>
    <n v="23664"/>
    <s v="C2"/>
    <s v="SUV"/>
    <x v="53"/>
    <n v="0"/>
  </r>
  <r>
    <x v="11"/>
    <s v="Harrier"/>
    <x v="0"/>
    <n v="2626"/>
    <n v="22071"/>
    <s v="D1"/>
    <s v="SUV"/>
    <x v="54"/>
    <n v="-7"/>
  </r>
  <r>
    <x v="11"/>
    <s v="Harrier"/>
    <x v="1"/>
    <n v="2562"/>
    <n v="22071"/>
    <s v="D1"/>
    <s v="SUV"/>
    <x v="54"/>
    <n v="-7"/>
  </r>
  <r>
    <x v="11"/>
    <s v="Harrier"/>
    <x v="2"/>
    <n v="2054"/>
    <n v="22071"/>
    <s v="D1"/>
    <s v="SUV"/>
    <x v="54"/>
    <n v="-7"/>
  </r>
  <r>
    <x v="11"/>
    <s v="Harrier"/>
    <x v="3"/>
    <n v="1746"/>
    <n v="22071"/>
    <s v="D1"/>
    <s v="SUV"/>
    <x v="54"/>
    <n v="-7"/>
  </r>
  <r>
    <x v="11"/>
    <s v="Harrier"/>
    <x v="4"/>
    <n v="1625"/>
    <n v="22071"/>
    <s v="D1"/>
    <s v="SUV"/>
    <x v="54"/>
    <n v="-7"/>
  </r>
  <r>
    <x v="11"/>
    <s v="Harrier"/>
    <x v="5"/>
    <n v="1347"/>
    <n v="22071"/>
    <s v="D1"/>
    <s v="SUV"/>
    <x v="54"/>
    <n v="-7"/>
  </r>
  <r>
    <x v="11"/>
    <s v="Harrier"/>
    <x v="6"/>
    <n v="1991"/>
    <n v="22071"/>
    <s v="D1"/>
    <s v="SUV"/>
    <x v="54"/>
    <n v="-7"/>
  </r>
  <r>
    <x v="11"/>
    <s v="Harrier"/>
    <x v="7"/>
    <n v="1892"/>
    <n v="22071"/>
    <s v="D1"/>
    <s v="SUV"/>
    <x v="54"/>
    <n v="-7"/>
  </r>
  <r>
    <x v="11"/>
    <s v="Harrier"/>
    <x v="8"/>
    <n v="1600"/>
    <n v="22071"/>
    <s v="D1"/>
    <s v="SUV"/>
    <x v="54"/>
    <n v="-7"/>
  </r>
  <r>
    <x v="11"/>
    <s v="Harrier"/>
    <x v="9"/>
    <n v="1947"/>
    <n v="22071"/>
    <s v="D1"/>
    <s v="SUV"/>
    <x v="54"/>
    <n v="-7"/>
  </r>
  <r>
    <x v="11"/>
    <s v="Harrier"/>
    <x v="10"/>
    <n v="1374"/>
    <n v="22071"/>
    <s v="D1"/>
    <s v="SUV"/>
    <x v="54"/>
    <n v="-7"/>
  </r>
  <r>
    <x v="11"/>
    <s v="Harrier"/>
    <x v="11"/>
    <n v="1307"/>
    <n v="22071"/>
    <s v="D1"/>
    <s v="SUV"/>
    <x v="54"/>
    <n v="-7"/>
  </r>
  <r>
    <x v="11"/>
    <s v="Nexon"/>
    <x v="0"/>
    <n v="17182"/>
    <n v="161611"/>
    <s v="C1"/>
    <s v="SUV"/>
    <x v="13"/>
    <n v="-11"/>
  </r>
  <r>
    <x v="11"/>
    <s v="Nexon"/>
    <x v="1"/>
    <n v="14395"/>
    <n v="161611"/>
    <s v="C1"/>
    <s v="SUV"/>
    <x v="13"/>
    <n v="-11"/>
  </r>
  <r>
    <x v="11"/>
    <s v="Nexon"/>
    <x v="2"/>
    <n v="14058"/>
    <n v="161611"/>
    <s v="C1"/>
    <s v="SUV"/>
    <x v="13"/>
    <n v="-11"/>
  </r>
  <r>
    <x v="11"/>
    <s v="Nexon"/>
    <x v="3"/>
    <n v="11168"/>
    <n v="161611"/>
    <s v="C1"/>
    <s v="SUV"/>
    <x v="13"/>
    <n v="-11"/>
  </r>
  <r>
    <x v="11"/>
    <s v="Nexon"/>
    <x v="4"/>
    <n v="11457"/>
    <n v="161611"/>
    <s v="C1"/>
    <s v="SUV"/>
    <x v="13"/>
    <n v="-11"/>
  </r>
  <r>
    <x v="11"/>
    <s v="Nexon"/>
    <x v="5"/>
    <n v="12066"/>
    <n v="161611"/>
    <s v="C1"/>
    <s v="SUV"/>
    <x v="13"/>
    <n v="-11"/>
  </r>
  <r>
    <x v="11"/>
    <s v="Nexon"/>
    <x v="6"/>
    <n v="13902"/>
    <n v="161611"/>
    <s v="C1"/>
    <s v="SUV"/>
    <x v="13"/>
    <n v="-11"/>
  </r>
  <r>
    <x v="11"/>
    <s v="Nexon"/>
    <x v="7"/>
    <n v="12289"/>
    <n v="161611"/>
    <s v="C1"/>
    <s v="SUV"/>
    <x v="13"/>
    <n v="-11"/>
  </r>
  <r>
    <x v="11"/>
    <s v="Nexon"/>
    <x v="8"/>
    <n v="11470"/>
    <n v="161611"/>
    <s v="C1"/>
    <s v="SUV"/>
    <x v="13"/>
    <n v="-11"/>
  </r>
  <r>
    <x v="11"/>
    <s v="Nexon"/>
    <x v="9"/>
    <n v="14759"/>
    <n v="161611"/>
    <s v="C1"/>
    <s v="SUV"/>
    <x v="13"/>
    <n v="-11"/>
  </r>
  <r>
    <x v="11"/>
    <s v="Nexon"/>
    <x v="10"/>
    <n v="15329"/>
    <n v="161611"/>
    <s v="C1"/>
    <s v="SUV"/>
    <x v="13"/>
    <n v="-11"/>
  </r>
  <r>
    <x v="11"/>
    <s v="Nexon"/>
    <x v="11"/>
    <n v="13536"/>
    <n v="161611"/>
    <s v="C1"/>
    <s v="SUV"/>
    <x v="13"/>
    <n v="-11"/>
  </r>
  <r>
    <x v="11"/>
    <s v="Punch"/>
    <x v="0"/>
    <n v="17978"/>
    <n v="202031"/>
    <s v="C1"/>
    <s v="SUV"/>
    <x v="53"/>
    <n v="9"/>
  </r>
  <r>
    <x v="11"/>
    <s v="Punch"/>
    <x v="1"/>
    <n v="18438"/>
    <n v="202031"/>
    <s v="C1"/>
    <s v="SUV"/>
    <x v="53"/>
    <n v="9"/>
  </r>
  <r>
    <x v="11"/>
    <s v="Punch"/>
    <x v="2"/>
    <n v="17547"/>
    <n v="202031"/>
    <s v="C1"/>
    <s v="SUV"/>
    <x v="53"/>
    <n v="9"/>
  </r>
  <r>
    <x v="11"/>
    <s v="Punch"/>
    <x v="3"/>
    <n v="19158"/>
    <n v="202031"/>
    <s v="C1"/>
    <s v="SUV"/>
    <x v="53"/>
    <n v="9"/>
  </r>
  <r>
    <x v="11"/>
    <s v="Punch"/>
    <x v="4"/>
    <n v="18949"/>
    <n v="202031"/>
    <s v="C1"/>
    <s v="SUV"/>
    <x v="53"/>
    <n v="9"/>
  </r>
  <r>
    <x v="11"/>
    <s v="Punch"/>
    <x v="5"/>
    <n v="18238"/>
    <n v="202031"/>
    <s v="C1"/>
    <s v="SUV"/>
    <x v="53"/>
    <n v="9"/>
  </r>
  <r>
    <x v="11"/>
    <s v="Punch"/>
    <x v="6"/>
    <n v="16121"/>
    <n v="202031"/>
    <s v="C1"/>
    <s v="SUV"/>
    <x v="53"/>
    <n v="9"/>
  </r>
  <r>
    <x v="11"/>
    <s v="Punch"/>
    <x v="7"/>
    <n v="15643"/>
    <n v="202031"/>
    <s v="C1"/>
    <s v="SUV"/>
    <x v="53"/>
    <n v="9"/>
  </r>
  <r>
    <x v="11"/>
    <s v="Punch"/>
    <x v="8"/>
    <n v="13711"/>
    <n v="202031"/>
    <s v="C1"/>
    <s v="SUV"/>
    <x v="53"/>
    <n v="9"/>
  </r>
  <r>
    <x v="11"/>
    <s v="Punch"/>
    <x v="9"/>
    <n v="15740"/>
    <n v="202031"/>
    <s v="C1"/>
    <s v="SUV"/>
    <x v="53"/>
    <n v="9"/>
  </r>
  <r>
    <x v="11"/>
    <s v="Punch"/>
    <x v="10"/>
    <n v="15435"/>
    <n v="202031"/>
    <s v="C1"/>
    <s v="SUV"/>
    <x v="53"/>
    <n v="9"/>
  </r>
  <r>
    <x v="11"/>
    <s v="Punch"/>
    <x v="11"/>
    <n v="15073"/>
    <n v="202031"/>
    <s v="C1"/>
    <s v="SUV"/>
    <x v="53"/>
    <n v="9"/>
  </r>
  <r>
    <x v="11"/>
    <s v="Safari"/>
    <x v="0"/>
    <n v="2893"/>
    <n v="23113"/>
    <s v="D1"/>
    <s v="SUV"/>
    <x v="55"/>
    <n v="-34"/>
  </r>
  <r>
    <x v="11"/>
    <s v="Safari"/>
    <x v="1"/>
    <n v="2648"/>
    <n v="23113"/>
    <s v="D1"/>
    <s v="SUV"/>
    <x v="55"/>
    <n v="-34"/>
  </r>
  <r>
    <x v="11"/>
    <s v="Safari"/>
    <x v="2"/>
    <n v="2063"/>
    <n v="23113"/>
    <s v="D1"/>
    <s v="SUV"/>
    <x v="55"/>
    <n v="-34"/>
  </r>
  <r>
    <x v="11"/>
    <s v="Safari"/>
    <x v="3"/>
    <n v="1716"/>
    <n v="23113"/>
    <s v="D1"/>
    <s v="SUV"/>
    <x v="55"/>
    <n v="-34"/>
  </r>
  <r>
    <x v="11"/>
    <s v="Safari"/>
    <x v="4"/>
    <n v="1661"/>
    <n v="23113"/>
    <s v="D1"/>
    <s v="SUV"/>
    <x v="55"/>
    <n v="-34"/>
  </r>
  <r>
    <x v="11"/>
    <s v="Safari"/>
    <x v="5"/>
    <n v="1394"/>
    <n v="23113"/>
    <s v="D1"/>
    <s v="SUV"/>
    <x v="55"/>
    <n v="-34"/>
  </r>
  <r>
    <x v="11"/>
    <s v="Safari"/>
    <x v="6"/>
    <n v="2109"/>
    <n v="23113"/>
    <s v="D1"/>
    <s v="SUV"/>
    <x v="55"/>
    <n v="-34"/>
  </r>
  <r>
    <x v="11"/>
    <s v="Safari"/>
    <x v="7"/>
    <n v="1951"/>
    <n v="23113"/>
    <s v="D1"/>
    <s v="SUV"/>
    <x v="55"/>
    <n v="-34"/>
  </r>
  <r>
    <x v="11"/>
    <s v="Safari"/>
    <x v="8"/>
    <n v="1644"/>
    <n v="23113"/>
    <s v="D1"/>
    <s v="SUV"/>
    <x v="55"/>
    <n v="-34"/>
  </r>
  <r>
    <x v="11"/>
    <s v="Safari"/>
    <x v="9"/>
    <n v="2086"/>
    <n v="23113"/>
    <s v="D1"/>
    <s v="SUV"/>
    <x v="55"/>
    <n v="-34"/>
  </r>
  <r>
    <x v="11"/>
    <s v="Safari"/>
    <x v="10"/>
    <n v="1563"/>
    <n v="23113"/>
    <s v="D1"/>
    <s v="SUV"/>
    <x v="55"/>
    <n v="-34"/>
  </r>
  <r>
    <x v="11"/>
    <s v="Safari"/>
    <x v="11"/>
    <n v="1385"/>
    <n v="23113"/>
    <s v="D1"/>
    <s v="SUV"/>
    <x v="55"/>
    <n v="-34"/>
  </r>
  <r>
    <x v="11"/>
    <s v="Tiago"/>
    <x v="0"/>
    <n v="6482"/>
    <n v="67337"/>
    <s v="B1"/>
    <s v="Hatchback"/>
    <x v="56"/>
    <n v="3"/>
  </r>
  <r>
    <x v="11"/>
    <s v="Tiago"/>
    <x v="1"/>
    <n v="6947"/>
    <n v="67337"/>
    <s v="B1"/>
    <s v="Hatchback"/>
    <x v="56"/>
    <n v="3"/>
  </r>
  <r>
    <x v="11"/>
    <s v="Tiago"/>
    <x v="2"/>
    <n v="6381"/>
    <n v="67337"/>
    <s v="B1"/>
    <s v="Hatchback"/>
    <x v="56"/>
    <n v="3"/>
  </r>
  <r>
    <x v="11"/>
    <s v="Tiago"/>
    <x v="3"/>
    <n v="6796"/>
    <n v="67337"/>
    <s v="B1"/>
    <s v="Hatchback"/>
    <x v="56"/>
    <n v="3"/>
  </r>
  <r>
    <x v="11"/>
    <s v="Tiago"/>
    <x v="4"/>
    <n v="5927"/>
    <n v="67337"/>
    <s v="B1"/>
    <s v="Hatchback"/>
    <x v="56"/>
    <n v="3"/>
  </r>
  <r>
    <x v="11"/>
    <s v="Tiago"/>
    <x v="5"/>
    <n v="5174"/>
    <n v="67337"/>
    <s v="B1"/>
    <s v="Hatchback"/>
    <x v="56"/>
    <n v="3"/>
  </r>
  <r>
    <x v="11"/>
    <s v="Tiago"/>
    <x v="6"/>
    <n v="5665"/>
    <n v="67337"/>
    <s v="B1"/>
    <s v="Hatchback"/>
    <x v="56"/>
    <n v="3"/>
  </r>
  <r>
    <x v="11"/>
    <s v="Tiago"/>
    <x v="7"/>
    <n v="4733"/>
    <n v="67337"/>
    <s v="B1"/>
    <s v="Hatchback"/>
    <x v="56"/>
    <n v="3"/>
  </r>
  <r>
    <x v="11"/>
    <s v="Tiago"/>
    <x v="8"/>
    <n v="4225"/>
    <n v="67337"/>
    <s v="B1"/>
    <s v="Hatchback"/>
    <x v="56"/>
    <n v="3"/>
  </r>
  <r>
    <x v="11"/>
    <s v="Tiago"/>
    <x v="9"/>
    <n v="4682"/>
    <n v="67337"/>
    <s v="B1"/>
    <s v="Hatchback"/>
    <x v="56"/>
    <n v="3"/>
  </r>
  <r>
    <x v="11"/>
    <s v="Tiago"/>
    <x v="10"/>
    <n v="5319"/>
    <n v="67337"/>
    <s v="B1"/>
    <s v="Hatchback"/>
    <x v="56"/>
    <n v="3"/>
  </r>
  <r>
    <x v="11"/>
    <s v="Tiago"/>
    <x v="11"/>
    <n v="5006"/>
    <n v="67337"/>
    <s v="B1"/>
    <s v="Hatchback"/>
    <x v="56"/>
    <n v="3"/>
  </r>
  <r>
    <x v="11"/>
    <s v="Tigor"/>
    <x v="0"/>
    <n v="1539"/>
    <n v="15895"/>
    <s v="C1"/>
    <s v="Sedan"/>
    <x v="57"/>
    <n v="-46"/>
  </r>
  <r>
    <x v="11"/>
    <s v="Tigor"/>
    <x v="1"/>
    <n v="1712"/>
    <n v="15895"/>
    <s v="C1"/>
    <s v="Sedan"/>
    <x v="57"/>
    <n v="-46"/>
  </r>
  <r>
    <x v="11"/>
    <s v="Tigor"/>
    <x v="2"/>
    <n v="2017"/>
    <n v="15895"/>
    <s v="C1"/>
    <s v="Sedan"/>
    <x v="57"/>
    <n v="-46"/>
  </r>
  <r>
    <x v="11"/>
    <s v="Tigor"/>
    <x v="3"/>
    <n v="2153"/>
    <n v="15895"/>
    <s v="C1"/>
    <s v="Sedan"/>
    <x v="57"/>
    <n v="-46"/>
  </r>
  <r>
    <x v="11"/>
    <s v="Tigor"/>
    <x v="4"/>
    <n v="2098"/>
    <n v="15895"/>
    <s v="C1"/>
    <s v="Sedan"/>
    <x v="57"/>
    <n v="-46"/>
  </r>
  <r>
    <x v="11"/>
    <s v="Tigor"/>
    <x v="6"/>
    <n v="1495"/>
    <n v="15895"/>
    <s v="C1"/>
    <s v="Sedan"/>
    <x v="57"/>
    <n v="-46"/>
  </r>
  <r>
    <x v="11"/>
    <s v="Tigor"/>
    <x v="7"/>
    <n v="1148"/>
    <n v="15895"/>
    <s v="C1"/>
    <s v="Sedan"/>
    <x v="57"/>
    <n v="-46"/>
  </r>
  <r>
    <x v="11"/>
    <s v="Tigor"/>
    <x v="8"/>
    <n v="894"/>
    <n v="15895"/>
    <s v="C1"/>
    <s v="Sedan"/>
    <x v="57"/>
    <n v="-46"/>
  </r>
  <r>
    <x v="11"/>
    <s v="Tigor"/>
    <x v="9"/>
    <n v="926"/>
    <n v="15895"/>
    <s v="C1"/>
    <s v="Sedan"/>
    <x v="57"/>
    <n v="-46"/>
  </r>
  <r>
    <x v="11"/>
    <s v="Tigor"/>
    <x v="10"/>
    <n v="859"/>
    <n v="15895"/>
    <s v="C1"/>
    <s v="Sedan"/>
    <x v="57"/>
    <n v="-46"/>
  </r>
  <r>
    <x v="11"/>
    <s v="Tigor"/>
    <x v="11"/>
    <n v="1054"/>
    <n v="15895"/>
    <s v="C1"/>
    <s v="Sedan"/>
    <x v="57"/>
    <n v="-46"/>
  </r>
  <r>
    <x v="12"/>
    <s v="Camry"/>
    <x v="0"/>
    <n v="312"/>
    <n v="1999"/>
    <s v="D2"/>
    <s v="Sedan"/>
    <x v="58"/>
    <n v="-51"/>
  </r>
  <r>
    <x v="12"/>
    <s v="Camry"/>
    <x v="1"/>
    <n v="210"/>
    <n v="1999"/>
    <s v="D2"/>
    <s v="Sedan"/>
    <x v="58"/>
    <n v="-51"/>
  </r>
  <r>
    <x v="12"/>
    <s v="Camry"/>
    <x v="2"/>
    <n v="232"/>
    <n v="1999"/>
    <s v="D2"/>
    <s v="Sedan"/>
    <x v="58"/>
    <n v="-51"/>
  </r>
  <r>
    <x v="12"/>
    <s v="Camry"/>
    <x v="3"/>
    <n v="179"/>
    <n v="1999"/>
    <s v="D2"/>
    <s v="Sedan"/>
    <x v="58"/>
    <n v="-51"/>
  </r>
  <r>
    <x v="12"/>
    <s v="Camry"/>
    <x v="4"/>
    <n v="122"/>
    <n v="1999"/>
    <s v="D2"/>
    <s v="Sedan"/>
    <x v="58"/>
    <n v="-51"/>
  </r>
  <r>
    <x v="12"/>
    <s v="Camry"/>
    <x v="5"/>
    <n v="143"/>
    <n v="1999"/>
    <s v="D2"/>
    <s v="Sedan"/>
    <x v="58"/>
    <n v="-51"/>
  </r>
  <r>
    <x v="12"/>
    <s v="Camry"/>
    <x v="6"/>
    <n v="126"/>
    <n v="1999"/>
    <s v="D2"/>
    <s v="Sedan"/>
    <x v="58"/>
    <n v="-51"/>
  </r>
  <r>
    <x v="12"/>
    <s v="Camry"/>
    <x v="7"/>
    <n v="154"/>
    <n v="1999"/>
    <s v="D2"/>
    <s v="Sedan"/>
    <x v="58"/>
    <n v="-51"/>
  </r>
  <r>
    <x v="12"/>
    <s v="Camry"/>
    <x v="8"/>
    <n v="127"/>
    <n v="1999"/>
    <s v="D2"/>
    <s v="Sedan"/>
    <x v="58"/>
    <n v="-51"/>
  </r>
  <r>
    <x v="12"/>
    <s v="Camry"/>
    <x v="9"/>
    <n v="176"/>
    <n v="1999"/>
    <s v="D2"/>
    <s v="Sedan"/>
    <x v="58"/>
    <n v="-51"/>
  </r>
  <r>
    <x v="12"/>
    <s v="Camry"/>
    <x v="10"/>
    <n v="130"/>
    <n v="1999"/>
    <s v="D2"/>
    <s v="Sedan"/>
    <x v="58"/>
    <n v="-51"/>
  </r>
  <r>
    <x v="12"/>
    <s v="Camry"/>
    <x v="11"/>
    <n v="88"/>
    <n v="1999"/>
    <s v="D2"/>
    <s v="Sedan"/>
    <x v="58"/>
    <n v="-51"/>
  </r>
  <r>
    <x v="12"/>
    <s v="Fortuner"/>
    <x v="0"/>
    <n v="3213"/>
    <n v="33597"/>
    <s v="D2"/>
    <s v="SUV"/>
    <x v="59"/>
    <n v="-29"/>
  </r>
  <r>
    <x v="12"/>
    <s v="Fortuner"/>
    <x v="1"/>
    <n v="3395"/>
    <n v="33597"/>
    <s v="D2"/>
    <s v="SUV"/>
    <x v="59"/>
    <n v="-29"/>
  </r>
  <r>
    <x v="12"/>
    <s v="Fortuner"/>
    <x v="2"/>
    <n v="3621"/>
    <n v="33597"/>
    <s v="D2"/>
    <s v="SUV"/>
    <x v="59"/>
    <n v="-29"/>
  </r>
  <r>
    <x v="12"/>
    <s v="Fortuner"/>
    <x v="3"/>
    <n v="2325"/>
    <n v="33597"/>
    <s v="D2"/>
    <s v="SUV"/>
    <x v="59"/>
    <n v="-29"/>
  </r>
  <r>
    <x v="12"/>
    <s v="Fortuner"/>
    <x v="4"/>
    <n v="2422"/>
    <n v="33597"/>
    <s v="D2"/>
    <s v="SUV"/>
    <x v="59"/>
    <n v="-29"/>
  </r>
  <r>
    <x v="12"/>
    <s v="Fortuner"/>
    <x v="5"/>
    <n v="2675"/>
    <n v="33597"/>
    <s v="D2"/>
    <s v="SUV"/>
    <x v="59"/>
    <n v="-29"/>
  </r>
  <r>
    <x v="12"/>
    <s v="Fortuner"/>
    <x v="6"/>
    <n v="2380"/>
    <n v="33597"/>
    <s v="D2"/>
    <s v="SUV"/>
    <x v="59"/>
    <n v="-29"/>
  </r>
  <r>
    <x v="12"/>
    <s v="Fortuner"/>
    <x v="7"/>
    <n v="2338"/>
    <n v="33597"/>
    <s v="D2"/>
    <s v="SUV"/>
    <x v="59"/>
    <n v="-29"/>
  </r>
  <r>
    <x v="12"/>
    <s v="Fortuner"/>
    <x v="8"/>
    <n v="2473"/>
    <n v="33597"/>
    <s v="D2"/>
    <s v="SUV"/>
    <x v="59"/>
    <n v="-29"/>
  </r>
  <r>
    <x v="12"/>
    <s v="Fortuner"/>
    <x v="9"/>
    <n v="3684"/>
    <n v="33597"/>
    <s v="D2"/>
    <s v="SUV"/>
    <x v="59"/>
    <n v="-29"/>
  </r>
  <r>
    <x v="12"/>
    <s v="Fortuner"/>
    <x v="10"/>
    <n v="2865"/>
    <n v="33597"/>
    <s v="D2"/>
    <s v="SUV"/>
    <x v="59"/>
    <n v="-29"/>
  </r>
  <r>
    <x v="12"/>
    <s v="Fortuner"/>
    <x v="11"/>
    <n v="2206"/>
    <n v="33597"/>
    <s v="D2"/>
    <s v="SUV"/>
    <x v="59"/>
    <n v="-29"/>
  </r>
  <r>
    <x v="12"/>
    <s v="Glanza"/>
    <x v="0"/>
    <n v="3740"/>
    <n v="49927"/>
    <s v="B2"/>
    <s v="Hatchback"/>
    <x v="11"/>
    <n v="-15"/>
  </r>
  <r>
    <x v="12"/>
    <s v="Glanza"/>
    <x v="1"/>
    <n v="4581"/>
    <n v="49927"/>
    <s v="B2"/>
    <s v="Hatchback"/>
    <x v="11"/>
    <n v="-15"/>
  </r>
  <r>
    <x v="12"/>
    <s v="Glanza"/>
    <x v="2"/>
    <n v="4319"/>
    <n v="49927"/>
    <s v="B2"/>
    <s v="Hatchback"/>
    <x v="11"/>
    <n v="-15"/>
  </r>
  <r>
    <x v="12"/>
    <s v="Glanza"/>
    <x v="3"/>
    <n v="4380"/>
    <n v="49927"/>
    <s v="B2"/>
    <s v="Hatchback"/>
    <x v="11"/>
    <n v="-15"/>
  </r>
  <r>
    <x v="12"/>
    <s v="Glanza"/>
    <x v="4"/>
    <n v="4517"/>
    <n v="49927"/>
    <s v="B2"/>
    <s v="Hatchback"/>
    <x v="11"/>
    <n v="-15"/>
  </r>
  <r>
    <x v="12"/>
    <s v="Glanza"/>
    <x v="5"/>
    <n v="4118"/>
    <n v="49927"/>
    <s v="B2"/>
    <s v="Hatchback"/>
    <x v="11"/>
    <n v="-15"/>
  </r>
  <r>
    <x v="12"/>
    <s v="Glanza"/>
    <x v="6"/>
    <n v="4836"/>
    <n v="49927"/>
    <s v="B2"/>
    <s v="Hatchback"/>
    <x v="11"/>
    <n v="-15"/>
  </r>
  <r>
    <x v="12"/>
    <s v="Glanza"/>
    <x v="7"/>
    <n v="4624"/>
    <n v="49927"/>
    <s v="B2"/>
    <s v="Hatchback"/>
    <x v="11"/>
    <n v="-15"/>
  </r>
  <r>
    <x v="12"/>
    <s v="Glanza"/>
    <x v="8"/>
    <n v="3246"/>
    <n v="49927"/>
    <s v="B2"/>
    <s v="Hatchback"/>
    <x v="11"/>
    <n v="-15"/>
  </r>
  <r>
    <x v="12"/>
    <s v="Glanza"/>
    <x v="9"/>
    <n v="4273"/>
    <n v="49927"/>
    <s v="B2"/>
    <s v="Hatchback"/>
    <x v="11"/>
    <n v="-15"/>
  </r>
  <r>
    <x v="12"/>
    <s v="Glanza"/>
    <x v="10"/>
    <n v="3806"/>
    <n v="49927"/>
    <s v="B2"/>
    <s v="Hatchback"/>
    <x v="11"/>
    <n v="-15"/>
  </r>
  <r>
    <x v="12"/>
    <s v="Glanza"/>
    <x v="11"/>
    <n v="3487"/>
    <n v="49927"/>
    <s v="B2"/>
    <s v="Hatchback"/>
    <x v="11"/>
    <n v="-15"/>
  </r>
  <r>
    <x v="12"/>
    <s v="Hilux"/>
    <x v="0"/>
    <n v="289"/>
    <n v="2902"/>
    <s v="D2"/>
    <s v="Others"/>
    <x v="60"/>
    <n v="-47"/>
  </r>
  <r>
    <x v="12"/>
    <s v="Hilux"/>
    <x v="1"/>
    <n v="245"/>
    <n v="2902"/>
    <s v="D2"/>
    <s v="Others"/>
    <x v="60"/>
    <n v="-47"/>
  </r>
  <r>
    <x v="12"/>
    <s v="Hilux"/>
    <x v="2"/>
    <n v="356"/>
    <n v="2902"/>
    <s v="D2"/>
    <s v="Others"/>
    <x v="60"/>
    <n v="-47"/>
  </r>
  <r>
    <x v="12"/>
    <s v="Hilux"/>
    <x v="3"/>
    <n v="264"/>
    <n v="2902"/>
    <s v="D2"/>
    <s v="Others"/>
    <x v="60"/>
    <n v="-47"/>
  </r>
  <r>
    <x v="12"/>
    <s v="Hilux"/>
    <x v="4"/>
    <n v="283"/>
    <n v="2902"/>
    <s v="D2"/>
    <s v="Others"/>
    <x v="60"/>
    <n v="-47"/>
  </r>
  <r>
    <x v="12"/>
    <s v="Hilux"/>
    <x v="5"/>
    <n v="236"/>
    <n v="2902"/>
    <s v="D2"/>
    <s v="Others"/>
    <x v="60"/>
    <n v="-47"/>
  </r>
  <r>
    <x v="12"/>
    <s v="Hilux"/>
    <x v="6"/>
    <n v="178"/>
    <n v="2902"/>
    <s v="D2"/>
    <s v="Others"/>
    <x v="60"/>
    <n v="-47"/>
  </r>
  <r>
    <x v="12"/>
    <s v="Hilux"/>
    <x v="7"/>
    <n v="204"/>
    <n v="2902"/>
    <s v="D2"/>
    <s v="Others"/>
    <x v="60"/>
    <n v="-47"/>
  </r>
  <r>
    <x v="12"/>
    <s v="Hilux"/>
    <x v="8"/>
    <n v="186"/>
    <n v="2902"/>
    <s v="D2"/>
    <s v="Others"/>
    <x v="60"/>
    <n v="-47"/>
  </r>
  <r>
    <x v="12"/>
    <s v="Hilux"/>
    <x v="9"/>
    <n v="342"/>
    <n v="2902"/>
    <s v="D2"/>
    <s v="Others"/>
    <x v="60"/>
    <n v="-47"/>
  </r>
  <r>
    <x v="12"/>
    <s v="Hilux"/>
    <x v="10"/>
    <n v="149"/>
    <n v="2902"/>
    <s v="D2"/>
    <s v="Others"/>
    <x v="60"/>
    <n v="-47"/>
  </r>
  <r>
    <x v="12"/>
    <s v="Hilux"/>
    <x v="11"/>
    <n v="170"/>
    <n v="2902"/>
    <s v="D2"/>
    <s v="Others"/>
    <x v="60"/>
    <n v="-47"/>
  </r>
  <r>
    <x v="12"/>
    <s v="Hyryder"/>
    <x v="0"/>
    <n v="5543"/>
    <n v="62956"/>
    <s v="C2"/>
    <s v="SUV"/>
    <x v="53"/>
    <n v="-4"/>
  </r>
  <r>
    <x v="12"/>
    <s v="Hyryder"/>
    <x v="1"/>
    <n v="5601"/>
    <n v="62956"/>
    <s v="C2"/>
    <s v="SUV"/>
    <x v="53"/>
    <n v="-4"/>
  </r>
  <r>
    <x v="12"/>
    <s v="Hyryder"/>
    <x v="2"/>
    <n v="5965"/>
    <n v="62956"/>
    <s v="C2"/>
    <s v="SUV"/>
    <x v="53"/>
    <n v="-4"/>
  </r>
  <r>
    <x v="12"/>
    <s v="Hyryder"/>
    <x v="3"/>
    <n v="3252"/>
    <n v="62956"/>
    <s v="C2"/>
    <s v="SUV"/>
    <x v="53"/>
    <n v="-4"/>
  </r>
  <r>
    <x v="12"/>
    <s v="Hyryder"/>
    <x v="4"/>
    <n v="3906"/>
    <n v="62956"/>
    <s v="C2"/>
    <s v="SUV"/>
    <x v="53"/>
    <n v="-4"/>
  </r>
  <r>
    <x v="12"/>
    <s v="Hyryder"/>
    <x v="5"/>
    <n v="4275"/>
    <n v="62956"/>
    <s v="C2"/>
    <s v="SUV"/>
    <x v="53"/>
    <n v="-4"/>
  </r>
  <r>
    <x v="12"/>
    <s v="Hyryder"/>
    <x v="6"/>
    <n v="7419"/>
    <n v="62956"/>
    <s v="C2"/>
    <s v="SUV"/>
    <x v="53"/>
    <n v="-4"/>
  </r>
  <r>
    <x v="12"/>
    <s v="Hyryder"/>
    <x v="7"/>
    <n v="6534"/>
    <n v="62956"/>
    <s v="C2"/>
    <s v="SUV"/>
    <x v="53"/>
    <n v="-4"/>
  </r>
  <r>
    <x v="12"/>
    <s v="Hyryder"/>
    <x v="8"/>
    <n v="5385"/>
    <n v="62956"/>
    <s v="C2"/>
    <s v="SUV"/>
    <x v="53"/>
    <n v="-4"/>
  </r>
  <r>
    <x v="12"/>
    <s v="Hyryder"/>
    <x v="9"/>
    <n v="5449"/>
    <n v="62956"/>
    <s v="C2"/>
    <s v="SUV"/>
    <x v="53"/>
    <n v="-4"/>
  </r>
  <r>
    <x v="12"/>
    <s v="Hyryder"/>
    <x v="10"/>
    <n v="4857"/>
    <n v="62956"/>
    <s v="C2"/>
    <s v="SUV"/>
    <x v="53"/>
    <n v="-4"/>
  </r>
  <r>
    <x v="12"/>
    <s v="Hyryder"/>
    <x v="11"/>
    <n v="4770"/>
    <n v="62956"/>
    <s v="C2"/>
    <s v="SUV"/>
    <x v="53"/>
    <n v="-4"/>
  </r>
  <r>
    <x v="12"/>
    <s v="Innova Crysta, Innova Hycross"/>
    <x v="0"/>
    <n v="9400"/>
    <n v="106900"/>
    <s v="D1"/>
    <s v="MUV"/>
    <x v="57"/>
    <n v="24"/>
  </r>
  <r>
    <x v="12"/>
    <s v="Innova Crysta, Innova Hycross"/>
    <x v="1"/>
    <n v="8481"/>
    <n v="106900"/>
    <s v="D1"/>
    <s v="MUV"/>
    <x v="57"/>
    <n v="24"/>
  </r>
  <r>
    <x v="12"/>
    <s v="Innova Crysta, Innova Hycross"/>
    <x v="2"/>
    <n v="9900"/>
    <n v="106900"/>
    <s v="D1"/>
    <s v="MUV"/>
    <x v="57"/>
    <n v="24"/>
  </r>
  <r>
    <x v="12"/>
    <s v="Innova Crysta, Innova Hycross"/>
    <x v="3"/>
    <n v="7103"/>
    <n v="106900"/>
    <s v="D1"/>
    <s v="MUV"/>
    <x v="57"/>
    <n v="24"/>
  </r>
  <r>
    <x v="12"/>
    <s v="Innova Crysta, Innova Hycross"/>
    <x v="4"/>
    <n v="8548"/>
    <n v="106900"/>
    <s v="D1"/>
    <s v="MUV"/>
    <x v="57"/>
    <n v="24"/>
  </r>
  <r>
    <x v="12"/>
    <s v="Innova Crysta, Innova Hycross"/>
    <x v="5"/>
    <n v="9412"/>
    <n v="106900"/>
    <s v="D1"/>
    <s v="MUV"/>
    <x v="57"/>
    <n v="24"/>
  </r>
  <r>
    <x v="12"/>
    <s v="Innova Crysta, Innova Hycross"/>
    <x v="6"/>
    <n v="9912"/>
    <n v="106900"/>
    <s v="D1"/>
    <s v="MUV"/>
    <x v="57"/>
    <n v="24"/>
  </r>
  <r>
    <x v="12"/>
    <s v="Innova Crysta, Innova Hycross"/>
    <x v="7"/>
    <n v="9687"/>
    <n v="106900"/>
    <s v="D1"/>
    <s v="MUV"/>
    <x v="57"/>
    <n v="24"/>
  </r>
  <r>
    <x v="12"/>
    <s v="Innova Crysta, Innova Hycross"/>
    <x v="8"/>
    <n v="8052"/>
    <n v="106900"/>
    <s v="D1"/>
    <s v="MUV"/>
    <x v="57"/>
    <n v="24"/>
  </r>
  <r>
    <x v="12"/>
    <s v="Innova Crysta, Innova Hycross"/>
    <x v="9"/>
    <n v="8838"/>
    <n v="106900"/>
    <s v="D1"/>
    <s v="MUV"/>
    <x v="57"/>
    <n v="24"/>
  </r>
  <r>
    <x v="12"/>
    <s v="Innova Crysta, Innova Hycross"/>
    <x v="10"/>
    <n v="7867"/>
    <n v="106900"/>
    <s v="D1"/>
    <s v="MUV"/>
    <x v="57"/>
    <n v="24"/>
  </r>
  <r>
    <x v="12"/>
    <s v="Innova Crysta, Innova Hycross"/>
    <x v="11"/>
    <n v="9700"/>
    <n v="106900"/>
    <s v="D1"/>
    <s v="MUV"/>
    <x v="57"/>
    <n v="24"/>
  </r>
  <r>
    <x v="12"/>
    <s v="Land Cruiser"/>
    <x v="0"/>
    <n v="0"/>
    <n v="0"/>
    <s v="Premium"/>
    <s v="SUV"/>
    <x v="3"/>
    <n v="0"/>
  </r>
  <r>
    <x v="12"/>
    <s v="Land Cruiser"/>
    <x v="1"/>
    <n v="0"/>
    <n v="0"/>
    <s v="Premium"/>
    <s v="SUV"/>
    <x v="3"/>
    <n v="0"/>
  </r>
  <r>
    <x v="12"/>
    <s v="Land Cruiser"/>
    <x v="2"/>
    <n v="0"/>
    <n v="0"/>
    <s v="Premium"/>
    <s v="SUV"/>
    <x v="3"/>
    <n v="0"/>
  </r>
  <r>
    <x v="12"/>
    <s v="Land Cruiser"/>
    <x v="3"/>
    <n v="0"/>
    <n v="0"/>
    <s v="Premium"/>
    <s v="SUV"/>
    <x v="3"/>
    <n v="0"/>
  </r>
  <r>
    <x v="12"/>
    <s v="Land Cruiser"/>
    <x v="4"/>
    <n v="0"/>
    <n v="0"/>
    <s v="Premium"/>
    <s v="SUV"/>
    <x v="3"/>
    <n v="0"/>
  </r>
  <r>
    <x v="12"/>
    <s v="Land Cruiser"/>
    <x v="5"/>
    <n v="0"/>
    <n v="0"/>
    <s v="Premium"/>
    <s v="SUV"/>
    <x v="3"/>
    <n v="0"/>
  </r>
  <r>
    <x v="12"/>
    <s v="Land Cruiser"/>
    <x v="6"/>
    <n v="0"/>
    <n v="0"/>
    <s v="Premium"/>
    <s v="SUV"/>
    <x v="3"/>
    <n v="0"/>
  </r>
  <r>
    <x v="12"/>
    <s v="Land Cruiser"/>
    <x v="7"/>
    <n v="0"/>
    <n v="0"/>
    <s v="Premium"/>
    <s v="SUV"/>
    <x v="3"/>
    <n v="0"/>
  </r>
  <r>
    <x v="12"/>
    <s v="Land Cruiser"/>
    <x v="8"/>
    <n v="0"/>
    <n v="0"/>
    <s v="Premium"/>
    <s v="SUV"/>
    <x v="3"/>
    <n v="0"/>
  </r>
  <r>
    <x v="12"/>
    <s v="Land Cruiser"/>
    <x v="9"/>
    <n v="0"/>
    <n v="0"/>
    <s v="Premium"/>
    <s v="SUV"/>
    <x v="3"/>
    <n v="0"/>
  </r>
  <r>
    <x v="12"/>
    <s v="Land Cruiser"/>
    <x v="10"/>
    <n v="0"/>
    <n v="0"/>
    <s v="Premium"/>
    <s v="SUV"/>
    <x v="3"/>
    <n v="0"/>
  </r>
  <r>
    <x v="12"/>
    <s v="Land Cruiser"/>
    <x v="11"/>
    <n v="0"/>
    <n v="0"/>
    <s v="Premium"/>
    <s v="SUV"/>
    <x v="3"/>
    <n v="0"/>
  </r>
  <r>
    <x v="12"/>
    <s v="Rumion"/>
    <x v="0"/>
    <n v="639"/>
    <n v="18099"/>
    <s v="_x000a_Utility"/>
    <s v="MUV"/>
    <x v="53"/>
    <n v="113"/>
  </r>
  <r>
    <x v="12"/>
    <s v="Rumion"/>
    <x v="1"/>
    <n v="730"/>
    <n v="18099"/>
    <s v="_x000a_Utility"/>
    <s v="MUV"/>
    <x v="53"/>
    <n v="113"/>
  </r>
  <r>
    <x v="12"/>
    <s v="Rumion"/>
    <x v="2"/>
    <n v="688"/>
    <n v="18099"/>
    <s v="_x000a_Utility"/>
    <s v="MUV"/>
    <x v="53"/>
    <n v="113"/>
  </r>
  <r>
    <x v="12"/>
    <s v="Rumion"/>
    <x v="3"/>
    <n v="1192"/>
    <n v="18099"/>
    <s v="_x000a_Utility"/>
    <s v="MUV"/>
    <x v="53"/>
    <n v="113"/>
  </r>
  <r>
    <x v="12"/>
    <s v="Rumion"/>
    <x v="4"/>
    <n v="1919"/>
    <n v="18099"/>
    <s v="_x000a_Utility"/>
    <s v="MUV"/>
    <x v="53"/>
    <n v="113"/>
  </r>
  <r>
    <x v="12"/>
    <s v="Rumion"/>
    <x v="5"/>
    <n v="1566"/>
    <n v="18099"/>
    <s v="_x000a_Utility"/>
    <s v="MUV"/>
    <x v="53"/>
    <n v="113"/>
  </r>
  <r>
    <x v="12"/>
    <s v="Rumion"/>
    <x v="6"/>
    <n v="1929"/>
    <n v="18099"/>
    <s v="_x000a_Utility"/>
    <s v="MUV"/>
    <x v="53"/>
    <n v="113"/>
  </r>
  <r>
    <x v="12"/>
    <s v="Rumion"/>
    <x v="7"/>
    <n v="1721"/>
    <n v="18099"/>
    <s v="_x000a_Utility"/>
    <s v="MUV"/>
    <x v="53"/>
    <n v="113"/>
  </r>
  <r>
    <x v="12"/>
    <s v="Rumion"/>
    <x v="8"/>
    <n v="1968"/>
    <n v="18099"/>
    <s v="_x000a_Utility"/>
    <s v="MUV"/>
    <x v="53"/>
    <n v="113"/>
  </r>
  <r>
    <x v="12"/>
    <s v="Rumion"/>
    <x v="9"/>
    <n v="2169"/>
    <n v="18099"/>
    <s v="_x000a_Utility"/>
    <s v="MUV"/>
    <x v="53"/>
    <n v="113"/>
  </r>
  <r>
    <x v="12"/>
    <s v="Rumion"/>
    <x v="10"/>
    <n v="1803"/>
    <n v="18099"/>
    <s v="_x000a_Utility"/>
    <s v="MUV"/>
    <x v="53"/>
    <n v="113"/>
  </r>
  <r>
    <x v="12"/>
    <s v="Rumion"/>
    <x v="11"/>
    <n v="1775"/>
    <n v="18099"/>
    <s v="_x000a_Utility"/>
    <s v="MUV"/>
    <x v="53"/>
    <n v="113"/>
  </r>
  <r>
    <x v="12"/>
    <s v="Taisor"/>
    <x v="0"/>
    <n v="0"/>
    <n v="22836"/>
    <s v="C1"/>
    <s v="Hatchback"/>
    <x v="61"/>
    <n v="0"/>
  </r>
  <r>
    <x v="12"/>
    <s v="Taisor"/>
    <x v="1"/>
    <n v="0"/>
    <n v="22836"/>
    <s v="C1"/>
    <s v="Hatchback"/>
    <x v="61"/>
    <n v="0"/>
  </r>
  <r>
    <x v="12"/>
    <s v="Taisor"/>
    <x v="2"/>
    <n v="0"/>
    <n v="22836"/>
    <s v="C1"/>
    <s v="Hatchback"/>
    <x v="61"/>
    <n v="0"/>
  </r>
  <r>
    <x v="12"/>
    <s v="Taisor"/>
    <x v="3"/>
    <n v="0"/>
    <n v="22836"/>
    <s v="C1"/>
    <s v="Hatchback"/>
    <x v="61"/>
    <n v="0"/>
  </r>
  <r>
    <x v="12"/>
    <s v="Taisor"/>
    <x v="4"/>
    <n v="2180"/>
    <n v="22836"/>
    <s v="C1"/>
    <s v="Hatchback"/>
    <x v="61"/>
    <n v="0"/>
  </r>
  <r>
    <x v="12"/>
    <s v="Taisor"/>
    <x v="5"/>
    <n v="3185"/>
    <n v="22836"/>
    <s v="C1"/>
    <s v="Hatchback"/>
    <x v="61"/>
    <n v="0"/>
  </r>
  <r>
    <x v="12"/>
    <s v="Taisor"/>
    <x v="6"/>
    <n v="2640"/>
    <n v="22836"/>
    <s v="C1"/>
    <s v="Hatchback"/>
    <x v="61"/>
    <n v="0"/>
  </r>
  <r>
    <x v="12"/>
    <s v="Taisor"/>
    <x v="7"/>
    <n v="3213"/>
    <n v="22836"/>
    <s v="C1"/>
    <s v="Hatchback"/>
    <x v="61"/>
    <n v="0"/>
  </r>
  <r>
    <x v="12"/>
    <s v="Taisor"/>
    <x v="8"/>
    <n v="2278"/>
    <n v="22836"/>
    <s v="C1"/>
    <s v="Hatchback"/>
    <x v="61"/>
    <n v="0"/>
  </r>
  <r>
    <x v="12"/>
    <s v="Taisor"/>
    <x v="9"/>
    <n v="3092"/>
    <n v="22836"/>
    <s v="C1"/>
    <s v="Hatchback"/>
    <x v="61"/>
    <n v="0"/>
  </r>
  <r>
    <x v="12"/>
    <s v="Taisor"/>
    <x v="10"/>
    <n v="3620"/>
    <n v="22836"/>
    <s v="C1"/>
    <s v="Hatchback"/>
    <x v="61"/>
    <n v="0"/>
  </r>
  <r>
    <x v="12"/>
    <s v="Taisor"/>
    <x v="11"/>
    <n v="2628"/>
    <n v="22836"/>
    <s v="C1"/>
    <s v="Hatchback"/>
    <x v="61"/>
    <n v="0"/>
  </r>
  <r>
    <x v="12"/>
    <s v="Vellfire"/>
    <x v="0"/>
    <n v="61"/>
    <n v="943"/>
    <s v="Premium"/>
    <s v="MUV"/>
    <x v="61"/>
    <n v="70"/>
  </r>
  <r>
    <x v="12"/>
    <s v="Vellfire"/>
    <x v="1"/>
    <n v="57"/>
    <n v="943"/>
    <s v="Premium"/>
    <s v="MUV"/>
    <x v="61"/>
    <n v="70"/>
  </r>
  <r>
    <x v="12"/>
    <s v="Vellfire"/>
    <x v="2"/>
    <n v="38"/>
    <n v="943"/>
    <s v="Premium"/>
    <s v="MUV"/>
    <x v="61"/>
    <n v="70"/>
  </r>
  <r>
    <x v="12"/>
    <s v="Vellfire"/>
    <x v="3"/>
    <n v="5"/>
    <n v="943"/>
    <s v="Premium"/>
    <s v="MUV"/>
    <x v="61"/>
    <n v="70"/>
  </r>
  <r>
    <x v="12"/>
    <s v="Vellfire"/>
    <x v="4"/>
    <n v="62"/>
    <n v="943"/>
    <s v="Premium"/>
    <s v="MUV"/>
    <x v="61"/>
    <n v="70"/>
  </r>
  <r>
    <x v="12"/>
    <s v="Vellfire"/>
    <x v="5"/>
    <n v="142"/>
    <n v="943"/>
    <s v="Premium"/>
    <s v="MUV"/>
    <x v="61"/>
    <n v="70"/>
  </r>
  <r>
    <x v="12"/>
    <s v="Vellfire"/>
    <x v="6"/>
    <n v="113"/>
    <n v="943"/>
    <s v="Premium"/>
    <s v="MUV"/>
    <x v="61"/>
    <n v="70"/>
  </r>
  <r>
    <x v="12"/>
    <s v="Vellfire"/>
    <x v="7"/>
    <n v="114"/>
    <n v="943"/>
    <s v="Premium"/>
    <s v="MUV"/>
    <x v="61"/>
    <n v="70"/>
  </r>
  <r>
    <x v="12"/>
    <s v="Vellfire"/>
    <x v="8"/>
    <n v="87"/>
    <n v="943"/>
    <s v="Premium"/>
    <s v="MUV"/>
    <x v="61"/>
    <n v="70"/>
  </r>
  <r>
    <x v="12"/>
    <s v="Vellfire"/>
    <x v="9"/>
    <n v="115"/>
    <n v="943"/>
    <s v="Premium"/>
    <s v="MUV"/>
    <x v="61"/>
    <n v="70"/>
  </r>
  <r>
    <x v="12"/>
    <s v="Vellfire"/>
    <x v="10"/>
    <n v="86"/>
    <n v="943"/>
    <s v="Premium"/>
    <s v="MUV"/>
    <x v="61"/>
    <n v="70"/>
  </r>
  <r>
    <x v="12"/>
    <s v="Vellfire"/>
    <x v="11"/>
    <n v="63"/>
    <n v="943"/>
    <s v="Premium"/>
    <s v="MUV"/>
    <x v="61"/>
    <n v="70"/>
  </r>
  <r>
    <x v="13"/>
    <s v="Taigun"/>
    <x v="0"/>
    <n v="1275"/>
    <n v="19650"/>
    <s v="C2"/>
    <s v="SUV"/>
    <x v="62"/>
    <n v="-5"/>
  </r>
  <r>
    <x v="13"/>
    <s v="Taigun"/>
    <x v="1"/>
    <n v="1286"/>
    <n v="19650"/>
    <s v="C2"/>
    <s v="SUV"/>
    <x v="62"/>
    <n v="-5"/>
  </r>
  <r>
    <x v="13"/>
    <s v="Taigun"/>
    <x v="2"/>
    <n v="1588"/>
    <n v="19650"/>
    <s v="C2"/>
    <s v="SUV"/>
    <x v="62"/>
    <n v="-5"/>
  </r>
  <r>
    <x v="13"/>
    <s v="Taigun"/>
    <x v="3"/>
    <n v="1758"/>
    <n v="19650"/>
    <s v="C2"/>
    <s v="SUV"/>
    <x v="62"/>
    <n v="-5"/>
  </r>
  <r>
    <x v="13"/>
    <s v="Taigun"/>
    <x v="4"/>
    <n v="1561"/>
    <n v="19650"/>
    <s v="C2"/>
    <s v="SUV"/>
    <x v="62"/>
    <n v="-5"/>
  </r>
  <r>
    <x v="13"/>
    <s v="Taigun"/>
    <x v="5"/>
    <n v="1519"/>
    <n v="19650"/>
    <s v="C2"/>
    <s v="SUV"/>
    <x v="62"/>
    <n v="-5"/>
  </r>
  <r>
    <x v="13"/>
    <s v="Taigun"/>
    <x v="6"/>
    <n v="1564"/>
    <n v="19650"/>
    <s v="C2"/>
    <s v="SUV"/>
    <x v="62"/>
    <n v="-5"/>
  </r>
  <r>
    <x v="13"/>
    <s v="Taigun"/>
    <x v="7"/>
    <n v="1628"/>
    <n v="19650"/>
    <s v="C2"/>
    <s v="SUV"/>
    <x v="62"/>
    <n v="-5"/>
  </r>
  <r>
    <x v="13"/>
    <s v="Taigun"/>
    <x v="8"/>
    <n v="1611"/>
    <n v="19650"/>
    <s v="C2"/>
    <s v="SUV"/>
    <x v="62"/>
    <n v="-5"/>
  </r>
  <r>
    <x v="13"/>
    <s v="Taigun"/>
    <x v="9"/>
    <n v="2028"/>
    <n v="19650"/>
    <s v="C2"/>
    <s v="SUV"/>
    <x v="62"/>
    <n v="-5"/>
  </r>
  <r>
    <x v="13"/>
    <s v="Taigun"/>
    <x v="10"/>
    <n v="1497"/>
    <n v="19650"/>
    <s v="C2"/>
    <s v="SUV"/>
    <x v="62"/>
    <n v="-5"/>
  </r>
  <r>
    <x v="13"/>
    <s v="Taigun"/>
    <x v="11"/>
    <n v="2335"/>
    <n v="19650"/>
    <s v="C2"/>
    <s v="SUV"/>
    <x v="62"/>
    <n v="-5"/>
  </r>
  <r>
    <x v="13"/>
    <s v="Tiguan"/>
    <x v="0"/>
    <n v="113"/>
    <n v="1193"/>
    <s v="D2"/>
    <s v="SUV"/>
    <x v="63"/>
    <n v="-29"/>
  </r>
  <r>
    <x v="13"/>
    <s v="Tiguan"/>
    <x v="1"/>
    <n v="102"/>
    <n v="1193"/>
    <s v="D2"/>
    <s v="SUV"/>
    <x v="63"/>
    <n v="-29"/>
  </r>
  <r>
    <x v="13"/>
    <s v="Tiguan"/>
    <x v="2"/>
    <n v="94"/>
    <n v="1193"/>
    <s v="D2"/>
    <s v="SUV"/>
    <x v="63"/>
    <n v="-29"/>
  </r>
  <r>
    <x v="13"/>
    <s v="Tiguan"/>
    <x v="3"/>
    <n v="108"/>
    <n v="1193"/>
    <s v="D2"/>
    <s v="SUV"/>
    <x v="63"/>
    <n v="-29"/>
  </r>
  <r>
    <x v="13"/>
    <s v="Tiguan"/>
    <x v="4"/>
    <n v="102"/>
    <n v="1193"/>
    <s v="D2"/>
    <s v="SUV"/>
    <x v="63"/>
    <n v="-29"/>
  </r>
  <r>
    <x v="13"/>
    <s v="Tiguan"/>
    <x v="5"/>
    <n v="85"/>
    <n v="1193"/>
    <s v="D2"/>
    <s v="SUV"/>
    <x v="63"/>
    <n v="-29"/>
  </r>
  <r>
    <x v="13"/>
    <s v="Tiguan"/>
    <x v="6"/>
    <n v="77"/>
    <n v="1193"/>
    <s v="D2"/>
    <s v="SUV"/>
    <x v="63"/>
    <n v="-29"/>
  </r>
  <r>
    <x v="13"/>
    <s v="Tiguan"/>
    <x v="7"/>
    <n v="73"/>
    <n v="1193"/>
    <s v="D2"/>
    <s v="SUV"/>
    <x v="63"/>
    <n v="-29"/>
  </r>
  <r>
    <x v="13"/>
    <s v="Tiguan"/>
    <x v="8"/>
    <n v="86"/>
    <n v="1193"/>
    <s v="D2"/>
    <s v="SUV"/>
    <x v="63"/>
    <n v="-29"/>
  </r>
  <r>
    <x v="13"/>
    <s v="Tiguan"/>
    <x v="9"/>
    <n v="79"/>
    <n v="1193"/>
    <s v="D2"/>
    <s v="SUV"/>
    <x v="63"/>
    <n v="-29"/>
  </r>
  <r>
    <x v="13"/>
    <s v="Tiguan"/>
    <x v="10"/>
    <n v="79"/>
    <n v="1193"/>
    <s v="D2"/>
    <s v="SUV"/>
    <x v="63"/>
    <n v="-29"/>
  </r>
  <r>
    <x v="13"/>
    <s v="Tiguan"/>
    <x v="11"/>
    <n v="195"/>
    <n v="1193"/>
    <s v="D2"/>
    <s v="SUV"/>
    <x v="63"/>
    <n v="-29"/>
  </r>
  <r>
    <x v="13"/>
    <s v="Virtus"/>
    <x v="0"/>
    <n v="1879"/>
    <n v="21210"/>
    <s v="C2"/>
    <s v="Sedan"/>
    <x v="64"/>
    <n v="3"/>
  </r>
  <r>
    <x v="13"/>
    <s v="Virtus"/>
    <x v="1"/>
    <n v="1631"/>
    <n v="21210"/>
    <s v="C2"/>
    <s v="Sedan"/>
    <x v="64"/>
    <n v="3"/>
  </r>
  <r>
    <x v="13"/>
    <s v="Virtus"/>
    <x v="2"/>
    <n v="1847"/>
    <n v="21210"/>
    <s v="C2"/>
    <s v="Sedan"/>
    <x v="64"/>
    <n v="3"/>
  </r>
  <r>
    <x v="13"/>
    <s v="Virtus"/>
    <x v="3"/>
    <n v="1183"/>
    <n v="21210"/>
    <s v="C2"/>
    <s v="Sedan"/>
    <x v="64"/>
    <n v="3"/>
  </r>
  <r>
    <x v="13"/>
    <s v="Virtus"/>
    <x v="4"/>
    <n v="1610"/>
    <n v="21210"/>
    <s v="C2"/>
    <s v="Sedan"/>
    <x v="64"/>
    <n v="3"/>
  </r>
  <r>
    <x v="13"/>
    <s v="Virtus"/>
    <x v="5"/>
    <n v="1656"/>
    <n v="21210"/>
    <s v="C2"/>
    <s v="Sedan"/>
    <x v="64"/>
    <n v="3"/>
  </r>
  <r>
    <x v="13"/>
    <s v="Virtus"/>
    <x v="6"/>
    <n v="1766"/>
    <n v="21210"/>
    <s v="C2"/>
    <s v="Sedan"/>
    <x v="64"/>
    <n v="3"/>
  </r>
  <r>
    <x v="13"/>
    <s v="Virtus"/>
    <x v="7"/>
    <n v="1876"/>
    <n v="21210"/>
    <s v="C2"/>
    <s v="Sedan"/>
    <x v="64"/>
    <n v="3"/>
  </r>
  <r>
    <x v="13"/>
    <s v="Virtus"/>
    <x v="8"/>
    <n v="1697"/>
    <n v="21210"/>
    <s v="C2"/>
    <s v="Sedan"/>
    <x v="64"/>
    <n v="3"/>
  </r>
  <r>
    <x v="13"/>
    <s v="Virtus"/>
    <x v="9"/>
    <n v="2351"/>
    <n v="21210"/>
    <s v="C2"/>
    <s v="Sedan"/>
    <x v="64"/>
    <n v="3"/>
  </r>
  <r>
    <x v="13"/>
    <s v="Virtus"/>
    <x v="10"/>
    <n v="1457"/>
    <n v="21210"/>
    <s v="C2"/>
    <s v="Sedan"/>
    <x v="64"/>
    <n v="3"/>
  </r>
  <r>
    <x v="13"/>
    <s v="Virtus"/>
    <x v="11"/>
    <n v="2257"/>
    <n v="21210"/>
    <s v="C2"/>
    <s v="Sedan"/>
    <x v="64"/>
    <n v="3"/>
  </r>
  <r>
    <x v="14"/>
    <m/>
    <x v="12"/>
    <m/>
    <m/>
    <m/>
    <m/>
    <x v="6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85DBC-E691-42A4-8FCE-EAE396470D4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20">
    <pivotField axis="axisRow" showAll="0" measureFilter="1" sortType="descending">
      <items count="16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n="blank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7"/>
    </i>
    <i>
      <x v="11"/>
    </i>
    <i>
      <x v="2"/>
    </i>
    <i>
      <x v="8"/>
    </i>
    <i>
      <x v="1"/>
    </i>
    <i t="grand">
      <x/>
    </i>
  </rowItems>
  <colItems count="1">
    <i/>
  </colItems>
  <dataFields count="1">
    <dataField name="Sum of Total" fld="14" baseField="0" baseItem="0"/>
  </dataFields>
  <formats count="6">
    <format dxfId="40">
      <pivotArea field="0" type="button" dataOnly="0" labelOnly="1" outline="0" axis="axisRow" fieldPosition="0"/>
    </format>
    <format dxfId="39">
      <pivotArea dataOnly="0" labelOnly="1" outline="0" axis="axisValues" fieldPosition="0"/>
    </format>
    <format dxfId="38">
      <pivotArea field="0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grandRow="1" fieldPosition="0"/>
    </format>
    <format dxfId="35">
      <pivotArea dataOnly="0" fieldPosition="0">
        <references count="1">
          <reference field="0" count="0"/>
        </references>
      </pivotArea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BFBBD-D798-490D-A338-BA8082848AE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:B15" firstHeaderRow="1" firstDataRow="1" firstDataCol="1"/>
  <pivotFields count="9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11"/>
        <item x="10"/>
        <item x="9"/>
        <item h="1" x="12"/>
        <item t="default"/>
      </items>
    </pivotField>
    <pivotField dataField="1" showAll="0"/>
    <pivotField showAll="0"/>
    <pivotField showAll="0"/>
    <pivotField showAll="0"/>
    <pivotField showAll="0">
      <items count="67">
        <item x="40"/>
        <item x="52"/>
        <item x="33"/>
        <item x="37"/>
        <item x="24"/>
        <item x="15"/>
        <item x="21"/>
        <item x="20"/>
        <item x="2"/>
        <item x="23"/>
        <item x="31"/>
        <item x="9"/>
        <item x="19"/>
        <item x="58"/>
        <item x="36"/>
        <item x="41"/>
        <item x="17"/>
        <item x="61"/>
        <item x="46"/>
        <item x="59"/>
        <item x="34"/>
        <item x="12"/>
        <item x="29"/>
        <item x="10"/>
        <item x="25"/>
        <item x="49"/>
        <item x="13"/>
        <item x="55"/>
        <item x="22"/>
        <item x="8"/>
        <item x="11"/>
        <item x="18"/>
        <item x="56"/>
        <item x="54"/>
        <item x="27"/>
        <item x="53"/>
        <item x="30"/>
        <item x="3"/>
        <item x="16"/>
        <item x="35"/>
        <item x="14"/>
        <item x="6"/>
        <item x="39"/>
        <item x="48"/>
        <item x="60"/>
        <item x="47"/>
        <item x="32"/>
        <item x="44"/>
        <item x="45"/>
        <item x="57"/>
        <item x="42"/>
        <item x="43"/>
        <item x="28"/>
        <item x="7"/>
        <item x="5"/>
        <item x="4"/>
        <item x="1"/>
        <item x="64"/>
        <item x="62"/>
        <item x="50"/>
        <item x="51"/>
        <item x="0"/>
        <item x="26"/>
        <item x="38"/>
        <item x="63"/>
        <item x="65"/>
        <item t="default"/>
      </items>
    </pivotField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3" baseField="0" baseItem="0"/>
  </dataFields>
  <formats count="5">
    <format dxfId="28">
      <pivotArea field="2" type="button" dataOnly="0" labelOnly="1" outline="0" axis="axisRow" fieldPosition="0"/>
    </format>
    <format dxfId="27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dataOnly="0" fieldPosition="0">
        <references count="1">
          <reference field="2" count="0"/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C63F1-63F9-4559-BE95-056A533BBB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1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10"/>
        <item x="7"/>
        <item x="8"/>
        <item x="3"/>
        <item x="1"/>
        <item x="0"/>
        <item x="5"/>
        <item x="2"/>
        <item x="4"/>
        <item x="9"/>
        <item x="6"/>
        <item h="1" x="11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" fld="14" baseField="0" baseItem="0"/>
  </dataFields>
  <formats count="6">
    <format dxfId="22">
      <pivotArea field="15" type="button" dataOnly="0" labelOnly="1" outline="0" axis="axisRow" fieldPosition="0"/>
    </format>
    <format dxfId="21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dataOnly="0" fieldPosition="0">
        <references count="1">
          <reference field="15" count="0"/>
        </references>
      </pivotArea>
    </format>
    <format dxfId="16">
      <pivotArea dataOnly="0" fieldPosition="0">
        <references count="1">
          <reference field="15" count="0"/>
        </references>
      </pivotArea>
    </format>
  </format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74DA3-C924-4CF1-8473-7D8A32DA6D9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x="10"/>
        <item x="7"/>
        <item x="8"/>
        <item x="3"/>
        <item x="1"/>
        <item x="0"/>
        <item x="5"/>
        <item x="2"/>
        <item x="4"/>
        <item x="9"/>
        <item x="6"/>
        <item x="11"/>
        <item t="default"/>
      </items>
    </pivotField>
    <pivotField axis="axisRow" showAll="0">
      <items count="7">
        <item x="1"/>
        <item x="3"/>
        <item x="4"/>
        <item x="2"/>
        <item x="0"/>
        <item h="1" x="5"/>
        <item t="default"/>
      </items>
    </pivotField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14" baseField="0" baseItem="0"/>
  </dataFields>
  <formats count="6">
    <format dxfId="34">
      <pivotArea field="16" type="button" dataOnly="0" labelOnly="1" outline="0" axis="axisRow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collapsedLevelsAreSubtotals="1" fieldPosition="0">
        <references count="1">
          <reference field="16" count="0"/>
        </references>
      </pivotArea>
    </format>
    <format dxfId="29">
      <pivotArea dataOnly="0" labelOnly="1" fieldPosition="0">
        <references count="1">
          <reference field="16" count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0D5ED-8FCE-40B9-B32C-3F5635483A0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0">
    <pivotField showAll="0"/>
    <pivotField axis="axisRow" showAll="0" measureFilter="1" sortType="descending">
      <items count="89">
        <item x="2"/>
        <item x="9"/>
        <item x="34"/>
        <item x="66"/>
        <item x="5"/>
        <item x="51"/>
        <item x="8"/>
        <item x="35"/>
        <item x="0"/>
        <item x="27"/>
        <item x="36"/>
        <item x="1"/>
        <item x="3"/>
        <item x="74"/>
        <item x="22"/>
        <item x="23"/>
        <item x="37"/>
        <item x="38"/>
        <item x="6"/>
        <item x="52"/>
        <item x="19"/>
        <item x="10"/>
        <item x="67"/>
        <item x="39"/>
        <item x="4"/>
        <item x="40"/>
        <item x="7"/>
        <item x="41"/>
        <item x="24"/>
        <item x="11"/>
        <item x="75"/>
        <item x="42"/>
        <item x="76"/>
        <item x="53"/>
        <item x="12"/>
        <item x="43"/>
        <item x="68"/>
        <item x="54"/>
        <item x="77"/>
        <item x="78"/>
        <item x="13"/>
        <item x="44"/>
        <item x="79"/>
        <item x="45"/>
        <item x="14"/>
        <item x="46"/>
        <item x="59"/>
        <item x="62"/>
        <item x="15"/>
        <item x="63"/>
        <item x="60"/>
        <item x="80"/>
        <item x="57"/>
        <item x="28"/>
        <item x="20"/>
        <item x="69"/>
        <item x="70"/>
        <item x="81"/>
        <item x="71"/>
        <item x="29"/>
        <item x="25"/>
        <item x="64"/>
        <item x="26"/>
        <item x="47"/>
        <item x="65"/>
        <item x="48"/>
        <item x="84"/>
        <item x="82"/>
        <item x="30"/>
        <item x="72"/>
        <item x="73"/>
        <item x="85"/>
        <item x="61"/>
        <item x="16"/>
        <item x="83"/>
        <item x="17"/>
        <item x="18"/>
        <item x="86"/>
        <item x="49"/>
        <item x="55"/>
        <item x="21"/>
        <item x="50"/>
        <item x="58"/>
        <item x="31"/>
        <item x="32"/>
        <item x="33"/>
        <item x="56"/>
        <item x="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0">
        <item x="0"/>
        <item x="3"/>
        <item x="25"/>
        <item x="57"/>
        <item x="74"/>
        <item x="14"/>
        <item x="15"/>
        <item x="20"/>
        <item x="76"/>
        <item x="50"/>
        <item x="43"/>
        <item x="16"/>
        <item x="4"/>
        <item x="2"/>
        <item x="1"/>
        <item x="19"/>
        <item x="70"/>
        <item x="67"/>
        <item x="35"/>
        <item x="52"/>
        <item x="42"/>
        <item x="49"/>
        <item x="73"/>
        <item x="29"/>
        <item x="54"/>
        <item x="55"/>
        <item x="48"/>
        <item x="58"/>
        <item x="6"/>
        <item x="59"/>
        <item x="75"/>
        <item x="66"/>
        <item x="51"/>
        <item x="9"/>
        <item x="77"/>
        <item x="18"/>
        <item x="56"/>
        <item x="41"/>
        <item x="61"/>
        <item x="53"/>
        <item x="64"/>
        <item x="5"/>
        <item x="68"/>
        <item x="44"/>
        <item x="69"/>
        <item x="47"/>
        <item x="34"/>
        <item x="7"/>
        <item x="28"/>
        <item x="60"/>
        <item x="8"/>
        <item x="71"/>
        <item x="21"/>
        <item x="27"/>
        <item x="22"/>
        <item x="65"/>
        <item x="12"/>
        <item x="13"/>
        <item x="30"/>
        <item x="11"/>
        <item x="72"/>
        <item x="24"/>
        <item x="23"/>
        <item x="17"/>
        <item x="37"/>
        <item x="31"/>
        <item x="10"/>
        <item x="40"/>
        <item x="39"/>
        <item x="26"/>
        <item x="38"/>
        <item x="33"/>
        <item x="45"/>
        <item x="36"/>
        <item x="62"/>
        <item x="46"/>
        <item x="63"/>
        <item x="32"/>
        <item x="78"/>
        <item t="default"/>
      </items>
    </pivotField>
    <pivotField showAll="0">
      <items count="79">
        <item x="0"/>
        <item x="20"/>
        <item x="24"/>
        <item x="73"/>
        <item x="13"/>
        <item x="3"/>
        <item x="14"/>
        <item x="56"/>
        <item x="75"/>
        <item x="2"/>
        <item x="15"/>
        <item x="49"/>
        <item x="18"/>
        <item x="66"/>
        <item x="1"/>
        <item x="69"/>
        <item x="42"/>
        <item x="41"/>
        <item x="34"/>
        <item x="51"/>
        <item x="28"/>
        <item x="72"/>
        <item x="54"/>
        <item x="48"/>
        <item x="58"/>
        <item x="47"/>
        <item x="53"/>
        <item x="57"/>
        <item x="5"/>
        <item x="74"/>
        <item x="8"/>
        <item x="76"/>
        <item x="17"/>
        <item x="65"/>
        <item x="50"/>
        <item x="55"/>
        <item x="60"/>
        <item x="63"/>
        <item x="52"/>
        <item x="4"/>
        <item x="43"/>
        <item x="6"/>
        <item x="67"/>
        <item x="33"/>
        <item x="46"/>
        <item x="27"/>
        <item x="59"/>
        <item x="68"/>
        <item x="19"/>
        <item x="11"/>
        <item x="7"/>
        <item x="12"/>
        <item x="70"/>
        <item x="26"/>
        <item x="21"/>
        <item x="29"/>
        <item x="64"/>
        <item x="10"/>
        <item x="71"/>
        <item x="16"/>
        <item x="22"/>
        <item x="23"/>
        <item x="39"/>
        <item x="30"/>
        <item x="36"/>
        <item x="44"/>
        <item x="38"/>
        <item x="61"/>
        <item x="25"/>
        <item x="9"/>
        <item x="37"/>
        <item x="32"/>
        <item x="35"/>
        <item x="31"/>
        <item x="62"/>
        <item x="45"/>
        <item x="40"/>
        <item x="77"/>
        <item t="default"/>
      </items>
    </pivotField>
    <pivotField showAll="0">
      <items count="81">
        <item x="0"/>
        <item x="21"/>
        <item x="60"/>
        <item x="75"/>
        <item x="25"/>
        <item x="13"/>
        <item x="14"/>
        <item x="77"/>
        <item x="19"/>
        <item x="15"/>
        <item x="50"/>
        <item x="57"/>
        <item x="2"/>
        <item x="68"/>
        <item x="1"/>
        <item x="43"/>
        <item x="18"/>
        <item x="42"/>
        <item x="29"/>
        <item x="71"/>
        <item x="52"/>
        <item x="3"/>
        <item x="35"/>
        <item x="74"/>
        <item x="49"/>
        <item x="55"/>
        <item x="54"/>
        <item x="5"/>
        <item x="48"/>
        <item x="58"/>
        <item x="59"/>
        <item x="8"/>
        <item x="76"/>
        <item x="17"/>
        <item x="78"/>
        <item x="51"/>
        <item x="67"/>
        <item x="62"/>
        <item x="65"/>
        <item x="28"/>
        <item x="56"/>
        <item x="44"/>
        <item x="4"/>
        <item x="53"/>
        <item x="41"/>
        <item x="6"/>
        <item x="34"/>
        <item x="69"/>
        <item x="70"/>
        <item x="47"/>
        <item x="20"/>
        <item x="7"/>
        <item x="11"/>
        <item x="12"/>
        <item x="72"/>
        <item x="61"/>
        <item x="27"/>
        <item x="66"/>
        <item x="30"/>
        <item x="22"/>
        <item x="10"/>
        <item x="23"/>
        <item x="31"/>
        <item x="16"/>
        <item x="73"/>
        <item x="24"/>
        <item x="40"/>
        <item x="37"/>
        <item x="39"/>
        <item x="63"/>
        <item x="33"/>
        <item x="38"/>
        <item x="26"/>
        <item x="32"/>
        <item x="45"/>
        <item x="36"/>
        <item x="46"/>
        <item x="9"/>
        <item x="64"/>
        <item x="79"/>
        <item t="default"/>
      </items>
    </pivotField>
    <pivotField showAll="0">
      <items count="80">
        <item x="0"/>
        <item x="3"/>
        <item x="21"/>
        <item x="60"/>
        <item x="25"/>
        <item x="14"/>
        <item x="4"/>
        <item x="2"/>
        <item x="19"/>
        <item x="76"/>
        <item x="50"/>
        <item x="57"/>
        <item x="68"/>
        <item x="42"/>
        <item x="15"/>
        <item x="1"/>
        <item x="43"/>
        <item x="71"/>
        <item x="18"/>
        <item x="29"/>
        <item x="52"/>
        <item x="6"/>
        <item x="35"/>
        <item x="55"/>
        <item x="49"/>
        <item x="48"/>
        <item x="54"/>
        <item x="58"/>
        <item x="77"/>
        <item x="74"/>
        <item x="9"/>
        <item x="59"/>
        <item x="17"/>
        <item x="56"/>
        <item x="65"/>
        <item x="7"/>
        <item x="62"/>
        <item x="75"/>
        <item x="5"/>
        <item x="51"/>
        <item x="41"/>
        <item x="67"/>
        <item x="69"/>
        <item x="53"/>
        <item x="44"/>
        <item x="34"/>
        <item x="72"/>
        <item x="47"/>
        <item x="28"/>
        <item x="45"/>
        <item x="70"/>
        <item x="8"/>
        <item x="12"/>
        <item x="61"/>
        <item x="20"/>
        <item x="13"/>
        <item x="30"/>
        <item x="27"/>
        <item x="22"/>
        <item x="66"/>
        <item x="73"/>
        <item x="40"/>
        <item x="11"/>
        <item x="23"/>
        <item x="31"/>
        <item x="16"/>
        <item x="24"/>
        <item x="63"/>
        <item x="37"/>
        <item x="38"/>
        <item x="32"/>
        <item x="39"/>
        <item x="26"/>
        <item x="10"/>
        <item x="36"/>
        <item x="33"/>
        <item x="46"/>
        <item x="64"/>
        <item x="78"/>
        <item t="default"/>
      </items>
    </pivotField>
    <pivotField showAll="0">
      <items count="81">
        <item x="0"/>
        <item x="59"/>
        <item x="20"/>
        <item x="24"/>
        <item x="13"/>
        <item x="75"/>
        <item x="18"/>
        <item x="77"/>
        <item x="67"/>
        <item x="2"/>
        <item x="49"/>
        <item x="1"/>
        <item x="14"/>
        <item x="56"/>
        <item x="41"/>
        <item x="3"/>
        <item x="17"/>
        <item x="42"/>
        <item x="70"/>
        <item x="51"/>
        <item x="28"/>
        <item x="34"/>
        <item x="54"/>
        <item x="53"/>
        <item x="8"/>
        <item x="47"/>
        <item x="5"/>
        <item x="57"/>
        <item x="48"/>
        <item x="16"/>
        <item x="58"/>
        <item x="6"/>
        <item x="76"/>
        <item x="78"/>
        <item x="61"/>
        <item x="64"/>
        <item x="50"/>
        <item x="73"/>
        <item x="66"/>
        <item x="40"/>
        <item x="55"/>
        <item x="74"/>
        <item x="52"/>
        <item x="4"/>
        <item x="43"/>
        <item x="68"/>
        <item x="46"/>
        <item x="33"/>
        <item x="71"/>
        <item x="7"/>
        <item x="69"/>
        <item x="60"/>
        <item x="29"/>
        <item x="12"/>
        <item x="19"/>
        <item x="11"/>
        <item x="26"/>
        <item x="65"/>
        <item x="21"/>
        <item x="22"/>
        <item x="30"/>
        <item x="10"/>
        <item x="23"/>
        <item x="72"/>
        <item x="15"/>
        <item x="39"/>
        <item x="27"/>
        <item x="36"/>
        <item x="62"/>
        <item x="38"/>
        <item x="31"/>
        <item x="25"/>
        <item x="37"/>
        <item x="32"/>
        <item x="45"/>
        <item x="9"/>
        <item x="35"/>
        <item x="63"/>
        <item x="44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88">
        <item x="21"/>
        <item x="3"/>
        <item x="58"/>
        <item x="65"/>
        <item x="15"/>
        <item x="28"/>
        <item x="24"/>
        <item x="14"/>
        <item x="23"/>
        <item x="82"/>
        <item x="84"/>
        <item x="20"/>
        <item x="0"/>
        <item x="2"/>
        <item x="16"/>
        <item x="4"/>
        <item x="53"/>
        <item x="62"/>
        <item x="74"/>
        <item x="1"/>
        <item x="77"/>
        <item x="19"/>
        <item x="45"/>
        <item x="56"/>
        <item x="38"/>
        <item x="32"/>
        <item x="60"/>
        <item x="46"/>
        <item x="55"/>
        <item x="51"/>
        <item x="59"/>
        <item x="6"/>
        <item x="52"/>
        <item x="64"/>
        <item x="73"/>
        <item x="18"/>
        <item x="63"/>
        <item x="9"/>
        <item x="80"/>
        <item x="54"/>
        <item x="83"/>
        <item x="85"/>
        <item x="61"/>
        <item x="68"/>
        <item x="81"/>
        <item x="71"/>
        <item x="67"/>
        <item x="44"/>
        <item x="47"/>
        <item x="7"/>
        <item x="57"/>
        <item x="5"/>
        <item x="75"/>
        <item x="37"/>
        <item x="50"/>
        <item x="66"/>
        <item x="76"/>
        <item x="8"/>
        <item x="13"/>
        <item x="78"/>
        <item x="22"/>
        <item x="12"/>
        <item x="72"/>
        <item x="25"/>
        <item x="30"/>
        <item x="11"/>
        <item x="31"/>
        <item x="33"/>
        <item x="27"/>
        <item x="34"/>
        <item x="26"/>
        <item x="79"/>
        <item x="17"/>
        <item x="43"/>
        <item x="40"/>
        <item x="42"/>
        <item x="69"/>
        <item x="29"/>
        <item x="39"/>
        <item x="35"/>
        <item x="48"/>
        <item x="10"/>
        <item x="36"/>
        <item x="41"/>
        <item x="49"/>
        <item x="70"/>
        <item x="86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1">
    <i>
      <x v="56"/>
    </i>
    <i>
      <x v="78"/>
    </i>
    <i>
      <x v="27"/>
    </i>
    <i>
      <x v="10"/>
    </i>
    <i>
      <x v="21"/>
    </i>
    <i>
      <x v="65"/>
    </i>
    <i>
      <x v="7"/>
    </i>
    <i>
      <x v="23"/>
    </i>
    <i>
      <x v="59"/>
    </i>
    <i>
      <x v="55"/>
    </i>
    <i t="grand">
      <x/>
    </i>
  </rowItems>
  <colItems count="1">
    <i/>
  </colItems>
  <dataFields count="1">
    <dataField name="Sum of Total" fld="14" baseField="0" baseItem="0"/>
  </dataFields>
  <formats count="8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2">
      <pivotArea field="1" type="button" dataOnly="0" labelOnly="1" outline="0" axis="axisRow" fieldPosition="0"/>
    </format>
    <format dxfId="11">
      <pivotArea dataOnly="0" labelOnly="1" outline="0" axis="axisValues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collapsedLevelsAreSubtotals="1" fieldPosition="0">
        <references count="1">
          <reference field="1" count="10">
            <x v="7"/>
            <x v="10"/>
            <x v="21"/>
            <x v="23"/>
            <x v="27"/>
            <x v="55"/>
            <x v="56"/>
            <x v="59"/>
            <x v="65"/>
            <x v="78"/>
          </reference>
        </references>
      </pivotArea>
    </format>
    <format dxfId="6">
      <pivotArea dataOnly="0" labelOnly="1" fieldPosition="0">
        <references count="1">
          <reference field="1" count="10">
            <x v="7"/>
            <x v="10"/>
            <x v="21"/>
            <x v="23"/>
            <x v="27"/>
            <x v="55"/>
            <x v="56"/>
            <x v="59"/>
            <x v="65"/>
            <x v="78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95332-C2FC-41BD-BE4E-89379973A6A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">
  <location ref="A4:B20" firstHeaderRow="1" firstDataRow="1" firstDataCol="1"/>
  <pivotFields count="20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measureFilter="1" sortType="ascending">
      <items count="89">
        <item x="87"/>
        <item x="56"/>
        <item x="33"/>
        <item x="32"/>
        <item x="31"/>
        <item x="58"/>
        <item x="50"/>
        <item x="21"/>
        <item x="55"/>
        <item x="49"/>
        <item x="86"/>
        <item x="18"/>
        <item x="17"/>
        <item x="83"/>
        <item x="16"/>
        <item x="61"/>
        <item x="85"/>
        <item x="73"/>
        <item x="72"/>
        <item x="30"/>
        <item x="82"/>
        <item x="84"/>
        <item x="48"/>
        <item x="65"/>
        <item x="47"/>
        <item x="26"/>
        <item x="64"/>
        <item x="25"/>
        <item x="29"/>
        <item x="71"/>
        <item x="81"/>
        <item x="70"/>
        <item x="69"/>
        <item x="20"/>
        <item x="28"/>
        <item x="57"/>
        <item x="80"/>
        <item x="60"/>
        <item x="63"/>
        <item x="15"/>
        <item x="62"/>
        <item x="59"/>
        <item x="46"/>
        <item x="14"/>
        <item x="45"/>
        <item x="79"/>
        <item x="44"/>
        <item x="13"/>
        <item x="78"/>
        <item x="77"/>
        <item x="54"/>
        <item x="68"/>
        <item x="43"/>
        <item x="12"/>
        <item x="53"/>
        <item x="76"/>
        <item x="42"/>
        <item x="75"/>
        <item x="11"/>
        <item x="24"/>
        <item x="41"/>
        <item x="7"/>
        <item x="40"/>
        <item x="4"/>
        <item x="39"/>
        <item x="67"/>
        <item x="10"/>
        <item x="19"/>
        <item x="52"/>
        <item x="6"/>
        <item x="38"/>
        <item x="37"/>
        <item x="23"/>
        <item x="22"/>
        <item x="74"/>
        <item x="3"/>
        <item x="1"/>
        <item x="36"/>
        <item x="27"/>
        <item x="0"/>
        <item x="35"/>
        <item x="8"/>
        <item x="51"/>
        <item x="5"/>
        <item x="66"/>
        <item x="34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0">
        <item x="0"/>
        <item x="3"/>
        <item x="25"/>
        <item x="57"/>
        <item x="74"/>
        <item x="14"/>
        <item x="15"/>
        <item x="20"/>
        <item x="76"/>
        <item x="50"/>
        <item x="43"/>
        <item x="16"/>
        <item x="4"/>
        <item x="2"/>
        <item x="1"/>
        <item x="19"/>
        <item x="70"/>
        <item x="67"/>
        <item x="35"/>
        <item x="52"/>
        <item x="42"/>
        <item x="49"/>
        <item x="73"/>
        <item x="29"/>
        <item x="54"/>
        <item x="55"/>
        <item x="48"/>
        <item x="58"/>
        <item x="6"/>
        <item x="59"/>
        <item x="75"/>
        <item x="66"/>
        <item x="51"/>
        <item x="9"/>
        <item x="77"/>
        <item x="18"/>
        <item x="56"/>
        <item x="41"/>
        <item x="61"/>
        <item x="53"/>
        <item x="64"/>
        <item x="5"/>
        <item x="68"/>
        <item x="44"/>
        <item x="69"/>
        <item x="47"/>
        <item x="34"/>
        <item x="7"/>
        <item x="28"/>
        <item x="60"/>
        <item x="8"/>
        <item x="71"/>
        <item x="21"/>
        <item x="27"/>
        <item x="22"/>
        <item x="65"/>
        <item x="12"/>
        <item x="13"/>
        <item x="30"/>
        <item x="11"/>
        <item x="72"/>
        <item x="24"/>
        <item x="23"/>
        <item x="17"/>
        <item x="37"/>
        <item x="31"/>
        <item x="10"/>
        <item x="40"/>
        <item x="39"/>
        <item x="26"/>
        <item x="38"/>
        <item x="33"/>
        <item x="45"/>
        <item x="36"/>
        <item x="62"/>
        <item x="46"/>
        <item x="63"/>
        <item x="32"/>
        <item x="78"/>
        <item t="default"/>
      </items>
    </pivotField>
    <pivotField showAll="0">
      <items count="79">
        <item x="0"/>
        <item x="20"/>
        <item x="24"/>
        <item x="73"/>
        <item x="13"/>
        <item x="3"/>
        <item x="14"/>
        <item x="56"/>
        <item x="75"/>
        <item x="2"/>
        <item x="15"/>
        <item x="49"/>
        <item x="18"/>
        <item x="66"/>
        <item x="1"/>
        <item x="69"/>
        <item x="42"/>
        <item x="41"/>
        <item x="34"/>
        <item x="51"/>
        <item x="28"/>
        <item x="72"/>
        <item x="54"/>
        <item x="48"/>
        <item x="58"/>
        <item x="47"/>
        <item x="53"/>
        <item x="57"/>
        <item x="5"/>
        <item x="74"/>
        <item x="8"/>
        <item x="76"/>
        <item x="17"/>
        <item x="65"/>
        <item x="50"/>
        <item x="55"/>
        <item x="60"/>
        <item x="63"/>
        <item x="52"/>
        <item x="4"/>
        <item x="43"/>
        <item x="6"/>
        <item x="67"/>
        <item x="33"/>
        <item x="46"/>
        <item x="27"/>
        <item x="59"/>
        <item x="68"/>
        <item x="19"/>
        <item x="11"/>
        <item x="7"/>
        <item x="12"/>
        <item x="70"/>
        <item x="26"/>
        <item x="21"/>
        <item x="29"/>
        <item x="64"/>
        <item x="10"/>
        <item x="71"/>
        <item x="16"/>
        <item x="22"/>
        <item x="23"/>
        <item x="39"/>
        <item x="30"/>
        <item x="36"/>
        <item x="44"/>
        <item x="38"/>
        <item x="61"/>
        <item x="25"/>
        <item x="9"/>
        <item x="37"/>
        <item x="32"/>
        <item x="35"/>
        <item x="31"/>
        <item x="62"/>
        <item x="45"/>
        <item x="40"/>
        <item x="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7">
        <item x="40"/>
        <item x="52"/>
        <item x="33"/>
        <item x="37"/>
        <item x="24"/>
        <item x="15"/>
        <item x="21"/>
        <item x="20"/>
        <item x="2"/>
        <item x="23"/>
        <item x="31"/>
        <item x="9"/>
        <item x="19"/>
        <item x="58"/>
        <item x="36"/>
        <item x="41"/>
        <item x="17"/>
        <item x="61"/>
        <item x="46"/>
        <item x="59"/>
        <item x="34"/>
        <item x="12"/>
        <item x="29"/>
        <item x="10"/>
        <item x="25"/>
        <item x="49"/>
        <item x="13"/>
        <item x="55"/>
        <item x="22"/>
        <item x="8"/>
        <item x="11"/>
        <item x="18"/>
        <item x="56"/>
        <item x="54"/>
        <item x="27"/>
        <item x="53"/>
        <item x="30"/>
        <item x="3"/>
        <item x="16"/>
        <item x="35"/>
        <item x="14"/>
        <item x="6"/>
        <item x="39"/>
        <item x="48"/>
        <item x="60"/>
        <item x="47"/>
        <item x="32"/>
        <item x="44"/>
        <item x="45"/>
        <item x="57"/>
        <item x="42"/>
        <item x="43"/>
        <item x="28"/>
        <item x="7"/>
        <item x="5"/>
        <item x="4"/>
        <item x="1"/>
        <item x="64"/>
        <item x="62"/>
        <item x="50"/>
        <item x="51"/>
        <item x="0"/>
        <item x="26"/>
        <item x="38"/>
        <item x="63"/>
        <item x="65"/>
        <item t="default"/>
      </items>
    </pivotField>
    <pivotField showAll="0"/>
    <pivotField showAll="0"/>
  </pivotFields>
  <rowFields count="1">
    <field x="1"/>
  </rowFields>
  <rowItems count="16">
    <i>
      <x v="7"/>
    </i>
    <i>
      <x v="36"/>
    </i>
    <i>
      <x/>
    </i>
    <i>
      <x v="75"/>
    </i>
    <i>
      <x v="5"/>
    </i>
    <i>
      <x v="23"/>
    </i>
    <i>
      <x v="39"/>
    </i>
    <i>
      <x v="34"/>
    </i>
    <i>
      <x v="59"/>
    </i>
    <i>
      <x v="43"/>
    </i>
    <i>
      <x v="72"/>
    </i>
    <i>
      <x v="13"/>
    </i>
    <i>
      <x v="16"/>
    </i>
    <i>
      <x v="33"/>
    </i>
    <i>
      <x v="79"/>
    </i>
    <i t="grand">
      <x/>
    </i>
  </rowItems>
  <colItems count="1">
    <i/>
  </colItems>
  <dataFields count="1">
    <dataField name="Sum of Total" fld="14" baseField="0" baseItem="0"/>
  </dataFields>
  <formats count="5">
    <format dxfId="5">
      <pivotArea dataOnly="0" fieldPosition="0">
        <references count="1">
          <reference field="1" count="15">
            <x v="0"/>
            <x v="5"/>
            <x v="7"/>
            <x v="13"/>
            <x v="16"/>
            <x v="23"/>
            <x v="33"/>
            <x v="34"/>
            <x v="36"/>
            <x v="39"/>
            <x v="43"/>
            <x v="59"/>
            <x v="72"/>
            <x v="75"/>
            <x v="79"/>
          </reference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7" iMeasureFld="0">
      <autoFilter ref="A1">
        <filterColumn colId="0">
          <top10 top="0"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07700-A4A7-4FA0-B399-27BD3F51BC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0" firstHeaderRow="1" firstDataRow="2" firstDataCol="1"/>
  <pivotFields count="20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13">
        <item x="10"/>
        <item x="7"/>
        <item x="8"/>
        <item x="3"/>
        <item x="1"/>
        <item x="0"/>
        <item x="5"/>
        <item x="2"/>
        <item x="4"/>
        <item x="9"/>
        <item x="6"/>
        <item x="11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BE1B-2DFB-474E-AD06-3CF0780F6D3B}">
  <dimension ref="A1:U88"/>
  <sheetViews>
    <sheetView tabSelected="1" zoomScale="85" zoomScaleNormal="110" zoomScaleSheetLayoutView="100" workbookViewId="0">
      <selection activeCell="V17" sqref="V17"/>
    </sheetView>
  </sheetViews>
  <sheetFormatPr defaultRowHeight="14.4" x14ac:dyDescent="0.3"/>
  <cols>
    <col min="1" max="1" width="12.21875" customWidth="1"/>
    <col min="2" max="2" width="25.77734375" customWidth="1"/>
    <col min="9" max="9" width="9.21875" customWidth="1"/>
    <col min="10" max="10" width="10" customWidth="1"/>
    <col min="11" max="11" width="10.88671875" customWidth="1"/>
    <col min="13" max="13" width="10.109375" customWidth="1"/>
    <col min="14" max="14" width="9.6640625" customWidth="1"/>
    <col min="15" max="15" width="10.44140625" customWidth="1"/>
    <col min="17" max="17" width="11.33203125" customWidth="1"/>
    <col min="18" max="18" width="12.5546875" bestFit="1" customWidth="1"/>
    <col min="19" max="19" width="12.109375" customWidth="1"/>
    <col min="20" max="20" width="12.88671875" customWidth="1"/>
    <col min="21" max="21" width="11.33203125" customWidth="1"/>
  </cols>
  <sheetData>
    <row r="1" spans="1:21" x14ac:dyDescent="0.3">
      <c r="A1" s="3" t="s">
        <v>41</v>
      </c>
      <c r="B1" s="3" t="s">
        <v>0</v>
      </c>
      <c r="C1" s="3" t="s">
        <v>35</v>
      </c>
      <c r="D1" s="4" t="s">
        <v>36</v>
      </c>
      <c r="E1" s="4" t="s">
        <v>37</v>
      </c>
      <c r="F1" s="3" t="s">
        <v>34</v>
      </c>
      <c r="G1" s="3" t="s">
        <v>38</v>
      </c>
      <c r="H1" s="3" t="s">
        <v>39</v>
      </c>
      <c r="I1" s="3" t="s">
        <v>130</v>
      </c>
      <c r="J1" s="3" t="s">
        <v>129</v>
      </c>
      <c r="K1" s="3" t="s">
        <v>128</v>
      </c>
      <c r="L1" s="3" t="s">
        <v>127</v>
      </c>
      <c r="M1" s="3" t="s">
        <v>126</v>
      </c>
      <c r="N1" s="4" t="s">
        <v>125</v>
      </c>
      <c r="O1" s="3" t="s">
        <v>131</v>
      </c>
      <c r="P1" s="3" t="s">
        <v>40</v>
      </c>
      <c r="Q1" s="3" t="s">
        <v>133</v>
      </c>
      <c r="R1" s="3" t="s">
        <v>134</v>
      </c>
      <c r="S1" s="3" t="s">
        <v>135</v>
      </c>
      <c r="T1" t="s">
        <v>136</v>
      </c>
      <c r="U1" s="3"/>
    </row>
    <row r="2" spans="1:21" x14ac:dyDescent="0.3">
      <c r="A2" t="s">
        <v>1</v>
      </c>
      <c r="B2" t="s">
        <v>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579</v>
      </c>
      <c r="K2">
        <v>341</v>
      </c>
      <c r="L2">
        <v>221</v>
      </c>
      <c r="M2">
        <v>47</v>
      </c>
      <c r="N2">
        <v>79</v>
      </c>
      <c r="O2">
        <f>SUM(C2:N2)</f>
        <v>1267</v>
      </c>
      <c r="P2" t="s">
        <v>9</v>
      </c>
      <c r="Q2" t="s">
        <v>46</v>
      </c>
      <c r="R2">
        <v>68</v>
      </c>
      <c r="S2">
        <v>0</v>
      </c>
      <c r="T2">
        <f>SUM(C2:N2)</f>
        <v>1267</v>
      </c>
    </row>
    <row r="3" spans="1:21" x14ac:dyDescent="0.3">
      <c r="A3" t="s">
        <v>1</v>
      </c>
      <c r="B3" t="s">
        <v>2</v>
      </c>
      <c r="C3">
        <v>234</v>
      </c>
      <c r="D3">
        <v>211</v>
      </c>
      <c r="E3">
        <v>265</v>
      </c>
      <c r="F3">
        <v>251</v>
      </c>
      <c r="G3">
        <v>155</v>
      </c>
      <c r="H3">
        <v>77</v>
      </c>
      <c r="I3">
        <v>90</v>
      </c>
      <c r="J3">
        <v>507</v>
      </c>
      <c r="K3">
        <v>300</v>
      </c>
      <c r="L3">
        <v>300</v>
      </c>
      <c r="M3">
        <v>200</v>
      </c>
      <c r="N3">
        <v>300</v>
      </c>
      <c r="O3">
        <f t="shared" ref="O3:O66" si="0">SUM(C3:N3)</f>
        <v>2890</v>
      </c>
      <c r="P3" t="s">
        <v>43</v>
      </c>
      <c r="Q3" t="s">
        <v>47</v>
      </c>
      <c r="R3">
        <v>50</v>
      </c>
      <c r="S3">
        <v>-3</v>
      </c>
      <c r="T3">
        <f t="shared" ref="T3:T66" si="1">SUM(C3:N3)</f>
        <v>2890</v>
      </c>
    </row>
    <row r="4" spans="1:21" x14ac:dyDescent="0.3">
      <c r="A4" t="s">
        <v>1</v>
      </c>
      <c r="B4" t="s">
        <v>3</v>
      </c>
      <c r="C4">
        <v>231</v>
      </c>
      <c r="D4">
        <v>127</v>
      </c>
      <c r="E4">
        <v>211</v>
      </c>
      <c r="F4">
        <v>93</v>
      </c>
      <c r="G4">
        <v>125</v>
      </c>
      <c r="H4">
        <v>136</v>
      </c>
      <c r="I4">
        <v>68</v>
      </c>
      <c r="J4">
        <v>38</v>
      </c>
      <c r="K4">
        <v>41</v>
      </c>
      <c r="L4">
        <v>103</v>
      </c>
      <c r="M4">
        <v>201</v>
      </c>
      <c r="N4">
        <v>96</v>
      </c>
      <c r="O4">
        <f t="shared" si="0"/>
        <v>1470</v>
      </c>
      <c r="P4" t="s">
        <v>9</v>
      </c>
      <c r="Q4" t="s">
        <v>46</v>
      </c>
      <c r="R4">
        <v>-52</v>
      </c>
      <c r="S4">
        <v>-72</v>
      </c>
      <c r="T4">
        <f t="shared" si="1"/>
        <v>1470</v>
      </c>
    </row>
    <row r="5" spans="1:21" x14ac:dyDescent="0.3">
      <c r="A5" t="s">
        <v>1</v>
      </c>
      <c r="B5" t="s">
        <v>4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4</v>
      </c>
      <c r="M5">
        <v>0</v>
      </c>
      <c r="N5">
        <v>1</v>
      </c>
      <c r="O5">
        <f t="shared" si="0"/>
        <v>9</v>
      </c>
      <c r="P5" t="s">
        <v>44</v>
      </c>
      <c r="Q5" t="s">
        <v>46</v>
      </c>
      <c r="R5">
        <v>0</v>
      </c>
      <c r="S5">
        <v>-50</v>
      </c>
      <c r="T5">
        <f t="shared" si="1"/>
        <v>9</v>
      </c>
    </row>
    <row r="6" spans="1:21" x14ac:dyDescent="0.3">
      <c r="A6" t="s">
        <v>1</v>
      </c>
      <c r="B6" t="s">
        <v>5</v>
      </c>
      <c r="C6">
        <v>184</v>
      </c>
      <c r="D6">
        <v>83</v>
      </c>
      <c r="E6">
        <v>530</v>
      </c>
      <c r="F6">
        <v>59</v>
      </c>
      <c r="G6">
        <v>235</v>
      </c>
      <c r="H6">
        <v>126</v>
      </c>
      <c r="I6">
        <v>177</v>
      </c>
      <c r="J6">
        <v>150</v>
      </c>
      <c r="K6">
        <v>28</v>
      </c>
      <c r="L6">
        <v>89</v>
      </c>
      <c r="M6">
        <v>61</v>
      </c>
      <c r="N6">
        <v>90</v>
      </c>
      <c r="O6">
        <f t="shared" si="0"/>
        <v>1812</v>
      </c>
      <c r="P6" t="s">
        <v>43</v>
      </c>
      <c r="Q6" t="s">
        <v>46</v>
      </c>
      <c r="R6">
        <v>48</v>
      </c>
      <c r="S6">
        <v>0</v>
      </c>
      <c r="T6">
        <f t="shared" si="1"/>
        <v>1812</v>
      </c>
    </row>
    <row r="7" spans="1:21" x14ac:dyDescent="0.3">
      <c r="A7" t="s">
        <v>6</v>
      </c>
      <c r="B7" t="s">
        <v>7</v>
      </c>
      <c r="C7" s="1">
        <v>2972</v>
      </c>
      <c r="D7" s="1">
        <v>2774</v>
      </c>
      <c r="E7" s="1">
        <v>2678</v>
      </c>
      <c r="F7" s="1">
        <v>1796</v>
      </c>
      <c r="G7" s="1">
        <v>2215</v>
      </c>
      <c r="H7" s="1">
        <v>1794</v>
      </c>
      <c r="I7" s="1">
        <v>2327</v>
      </c>
      <c r="J7" s="1">
        <v>2585</v>
      </c>
      <c r="K7" s="1">
        <v>2820</v>
      </c>
      <c r="L7" s="1">
        <v>2393</v>
      </c>
      <c r="M7" s="1">
        <v>2628</v>
      </c>
      <c r="N7" s="1">
        <v>3708</v>
      </c>
      <c r="O7">
        <f t="shared" si="0"/>
        <v>30690</v>
      </c>
      <c r="P7" t="s">
        <v>43</v>
      </c>
      <c r="Q7" t="s">
        <v>10</v>
      </c>
      <c r="R7">
        <v>41</v>
      </c>
      <c r="S7">
        <v>54</v>
      </c>
      <c r="T7">
        <f t="shared" si="1"/>
        <v>30690</v>
      </c>
    </row>
    <row r="8" spans="1:21" x14ac:dyDescent="0.3">
      <c r="A8" t="s">
        <v>6</v>
      </c>
      <c r="B8" t="s">
        <v>8</v>
      </c>
      <c r="C8" s="1">
        <v>1123</v>
      </c>
      <c r="D8" s="1">
        <v>1184</v>
      </c>
      <c r="E8" s="1">
        <v>1116</v>
      </c>
      <c r="F8">
        <v>824</v>
      </c>
      <c r="G8" s="1">
        <v>1054</v>
      </c>
      <c r="H8">
        <v>859</v>
      </c>
      <c r="I8">
        <v>957</v>
      </c>
      <c r="J8" s="1">
        <v>1018</v>
      </c>
      <c r="K8">
        <v>895</v>
      </c>
      <c r="L8" s="1">
        <v>1004</v>
      </c>
      <c r="M8">
        <v>709</v>
      </c>
      <c r="N8">
        <v>783</v>
      </c>
      <c r="O8">
        <f t="shared" si="0"/>
        <v>11526</v>
      </c>
      <c r="P8" t="s">
        <v>9</v>
      </c>
      <c r="Q8" t="s">
        <v>10</v>
      </c>
      <c r="R8">
        <v>10</v>
      </c>
      <c r="S8">
        <v>-30</v>
      </c>
      <c r="T8">
        <f t="shared" si="1"/>
        <v>11526</v>
      </c>
    </row>
    <row r="9" spans="1:21" x14ac:dyDescent="0.3">
      <c r="A9" t="s">
        <v>6</v>
      </c>
      <c r="B9" t="s">
        <v>11</v>
      </c>
      <c r="C9" s="1">
        <v>4586</v>
      </c>
      <c r="D9" s="1">
        <v>3184</v>
      </c>
      <c r="E9" s="1">
        <v>3277</v>
      </c>
      <c r="F9" s="1">
        <v>1731</v>
      </c>
      <c r="G9" s="1">
        <v>1553</v>
      </c>
      <c r="H9" s="1">
        <v>2151</v>
      </c>
      <c r="I9" s="1">
        <v>1340</v>
      </c>
      <c r="J9" s="1">
        <v>1723</v>
      </c>
      <c r="K9" s="1">
        <v>1960</v>
      </c>
      <c r="L9" s="1">
        <v>2149</v>
      </c>
      <c r="M9" s="1">
        <v>1668</v>
      </c>
      <c r="N9" s="1">
        <v>2334</v>
      </c>
      <c r="O9">
        <f t="shared" si="0"/>
        <v>27656</v>
      </c>
      <c r="P9" t="s">
        <v>9</v>
      </c>
      <c r="Q9" t="s">
        <v>46</v>
      </c>
      <c r="R9">
        <v>40</v>
      </c>
      <c r="S9">
        <v>-47</v>
      </c>
      <c r="T9">
        <f t="shared" si="1"/>
        <v>27656</v>
      </c>
    </row>
    <row r="10" spans="1:21" x14ac:dyDescent="0.3">
      <c r="A10" t="s">
        <v>12</v>
      </c>
      <c r="B10" t="s">
        <v>49</v>
      </c>
      <c r="C10" s="1">
        <v>5516</v>
      </c>
      <c r="D10" s="1">
        <v>5053</v>
      </c>
      <c r="E10" s="1">
        <v>4883</v>
      </c>
      <c r="F10" s="1">
        <v>4526</v>
      </c>
      <c r="G10" s="1">
        <v>4433</v>
      </c>
      <c r="H10" s="1">
        <v>4299</v>
      </c>
      <c r="I10" s="1">
        <v>4757</v>
      </c>
      <c r="J10" s="1">
        <v>4304</v>
      </c>
      <c r="K10" s="1">
        <v>4462</v>
      </c>
      <c r="L10" s="1">
        <v>4805</v>
      </c>
      <c r="M10" s="1">
        <v>4248</v>
      </c>
      <c r="N10" s="1">
        <v>3852</v>
      </c>
      <c r="O10">
        <f t="shared" si="0"/>
        <v>55138</v>
      </c>
      <c r="P10" t="s">
        <v>43</v>
      </c>
      <c r="Q10" t="s">
        <v>10</v>
      </c>
      <c r="R10">
        <v>-9</v>
      </c>
      <c r="S10">
        <v>1</v>
      </c>
      <c r="T10">
        <f t="shared" si="1"/>
        <v>55138</v>
      </c>
    </row>
    <row r="11" spans="1:21" x14ac:dyDescent="0.3">
      <c r="A11" t="s">
        <v>12</v>
      </c>
      <c r="B11" t="s">
        <v>13</v>
      </c>
      <c r="C11" s="1">
        <v>1827</v>
      </c>
      <c r="D11" s="1">
        <v>1290</v>
      </c>
      <c r="E11" s="1">
        <v>1420</v>
      </c>
      <c r="F11" s="1">
        <v>1219</v>
      </c>
      <c r="G11">
        <v>944</v>
      </c>
      <c r="H11">
        <v>882</v>
      </c>
      <c r="I11">
        <v>585</v>
      </c>
      <c r="J11" s="1">
        <v>1105</v>
      </c>
      <c r="K11" s="1">
        <v>2712</v>
      </c>
      <c r="L11" s="1">
        <v>2204</v>
      </c>
      <c r="M11" s="1">
        <v>2134</v>
      </c>
      <c r="N11" s="1">
        <v>1342</v>
      </c>
      <c r="O11">
        <f t="shared" si="0"/>
        <v>17664</v>
      </c>
      <c r="P11" t="s">
        <v>9</v>
      </c>
      <c r="Q11" t="s">
        <v>29</v>
      </c>
      <c r="R11">
        <v>-37</v>
      </c>
      <c r="S11">
        <v>41</v>
      </c>
      <c r="T11">
        <f t="shared" si="1"/>
        <v>17664</v>
      </c>
    </row>
    <row r="12" spans="1:21" x14ac:dyDescent="0.3">
      <c r="A12" t="s">
        <v>12</v>
      </c>
      <c r="B12" t="s">
        <v>14</v>
      </c>
      <c r="C12" s="1">
        <v>13212</v>
      </c>
      <c r="D12" s="1">
        <v>15276</v>
      </c>
      <c r="E12" s="1">
        <v>16458</v>
      </c>
      <c r="F12" s="1">
        <v>15447</v>
      </c>
      <c r="G12" s="1">
        <v>14662</v>
      </c>
      <c r="H12" s="1">
        <v>16293</v>
      </c>
      <c r="I12" s="1">
        <v>17350</v>
      </c>
      <c r="J12" s="1">
        <v>16762</v>
      </c>
      <c r="K12" s="1">
        <v>15902</v>
      </c>
      <c r="L12" s="1">
        <v>17497</v>
      </c>
      <c r="M12" s="1">
        <v>15452</v>
      </c>
      <c r="N12" s="1">
        <v>12608</v>
      </c>
      <c r="O12">
        <f t="shared" si="0"/>
        <v>186919</v>
      </c>
      <c r="P12" t="s">
        <v>9</v>
      </c>
      <c r="Q12" t="s">
        <v>46</v>
      </c>
      <c r="R12">
        <v>-18</v>
      </c>
      <c r="S12">
        <v>36</v>
      </c>
      <c r="T12">
        <f t="shared" si="1"/>
        <v>186919</v>
      </c>
    </row>
    <row r="13" spans="1:21" x14ac:dyDescent="0.3">
      <c r="A13" t="s">
        <v>12</v>
      </c>
      <c r="B13" t="s">
        <v>15</v>
      </c>
      <c r="C13" s="1">
        <v>8229</v>
      </c>
      <c r="D13" s="1">
        <v>7582</v>
      </c>
      <c r="E13" s="1">
        <v>8475</v>
      </c>
      <c r="F13" s="1">
        <v>7756</v>
      </c>
      <c r="G13" s="1">
        <v>7697</v>
      </c>
      <c r="H13" s="1">
        <v>6908</v>
      </c>
      <c r="I13" s="1">
        <v>6037</v>
      </c>
      <c r="J13" s="1">
        <v>6632</v>
      </c>
      <c r="K13" s="1">
        <v>6908</v>
      </c>
      <c r="L13" s="1">
        <v>7127</v>
      </c>
      <c r="M13" s="1">
        <v>5747</v>
      </c>
      <c r="N13" s="1">
        <v>5270</v>
      </c>
      <c r="O13">
        <f t="shared" si="0"/>
        <v>84368</v>
      </c>
      <c r="P13" t="s">
        <v>43</v>
      </c>
      <c r="Q13" t="s">
        <v>46</v>
      </c>
      <c r="R13">
        <v>-8</v>
      </c>
      <c r="S13">
        <v>-30</v>
      </c>
      <c r="T13">
        <f t="shared" si="1"/>
        <v>84368</v>
      </c>
    </row>
    <row r="14" spans="1:21" x14ac:dyDescent="0.3">
      <c r="A14" t="s">
        <v>12</v>
      </c>
      <c r="B14" t="s">
        <v>124</v>
      </c>
      <c r="C14" s="1">
        <v>6865</v>
      </c>
      <c r="D14" s="1">
        <v>4947</v>
      </c>
      <c r="E14" s="1">
        <v>5034</v>
      </c>
      <c r="F14" s="1">
        <v>5117</v>
      </c>
      <c r="G14" s="1">
        <v>5328</v>
      </c>
      <c r="H14" s="1">
        <v>4948</v>
      </c>
      <c r="I14" s="1">
        <v>4922</v>
      </c>
      <c r="J14" s="1">
        <v>5365</v>
      </c>
      <c r="K14" s="1">
        <v>5103</v>
      </c>
      <c r="L14" s="1">
        <v>6235</v>
      </c>
      <c r="M14" s="1">
        <v>5667</v>
      </c>
      <c r="N14" s="1">
        <v>4489</v>
      </c>
      <c r="O14">
        <f t="shared" si="0"/>
        <v>64020</v>
      </c>
      <c r="P14" t="s">
        <v>17</v>
      </c>
      <c r="Q14" t="s">
        <v>47</v>
      </c>
      <c r="R14">
        <v>-21</v>
      </c>
      <c r="S14">
        <v>-14</v>
      </c>
      <c r="T14">
        <f t="shared" si="1"/>
        <v>64020</v>
      </c>
    </row>
    <row r="15" spans="1:21" x14ac:dyDescent="0.3">
      <c r="A15" t="s">
        <v>12</v>
      </c>
      <c r="B15" t="s">
        <v>16</v>
      </c>
      <c r="C15" s="1">
        <v>7083</v>
      </c>
      <c r="D15" s="1">
        <v>5131</v>
      </c>
      <c r="E15" s="1">
        <v>5155</v>
      </c>
      <c r="F15" s="1">
        <v>5899</v>
      </c>
      <c r="G15" s="1">
        <v>5169</v>
      </c>
      <c r="H15" s="1">
        <v>5315</v>
      </c>
      <c r="I15" s="1">
        <v>4937</v>
      </c>
      <c r="J15" s="1">
        <v>4913</v>
      </c>
      <c r="K15" s="1">
        <v>4428</v>
      </c>
      <c r="L15" s="1">
        <v>5354</v>
      </c>
      <c r="M15" s="1">
        <v>3925</v>
      </c>
      <c r="N15" s="1">
        <v>3453</v>
      </c>
      <c r="O15">
        <f t="shared" si="0"/>
        <v>60762</v>
      </c>
      <c r="P15" t="s">
        <v>17</v>
      </c>
      <c r="Q15" t="s">
        <v>47</v>
      </c>
      <c r="R15">
        <v>-12</v>
      </c>
      <c r="S15">
        <v>-25</v>
      </c>
      <c r="T15">
        <f t="shared" si="1"/>
        <v>60762</v>
      </c>
    </row>
    <row r="16" spans="1:21" x14ac:dyDescent="0.3">
      <c r="A16" t="s">
        <v>12</v>
      </c>
      <c r="B16" t="s">
        <v>42</v>
      </c>
      <c r="C16" s="1">
        <v>95</v>
      </c>
      <c r="D16" s="1">
        <v>66</v>
      </c>
      <c r="E16" s="1">
        <v>65</v>
      </c>
      <c r="F16" s="1">
        <v>45</v>
      </c>
      <c r="G16" s="1">
        <v>42</v>
      </c>
      <c r="H16" s="1">
        <v>30</v>
      </c>
      <c r="I16">
        <v>36</v>
      </c>
      <c r="J16">
        <v>40</v>
      </c>
      <c r="K16">
        <v>31</v>
      </c>
      <c r="L16">
        <v>32</v>
      </c>
      <c r="M16">
        <v>22</v>
      </c>
      <c r="N16">
        <v>24</v>
      </c>
      <c r="O16">
        <f t="shared" si="0"/>
        <v>528</v>
      </c>
      <c r="P16" t="s">
        <v>18</v>
      </c>
      <c r="Q16" t="s">
        <v>46</v>
      </c>
      <c r="R16">
        <v>9</v>
      </c>
      <c r="S16">
        <v>-70</v>
      </c>
      <c r="T16">
        <f t="shared" si="1"/>
        <v>528</v>
      </c>
    </row>
    <row r="17" spans="1:20" x14ac:dyDescent="0.3">
      <c r="A17" t="s">
        <v>12</v>
      </c>
      <c r="B17" t="s">
        <v>19</v>
      </c>
      <c r="C17">
        <v>102</v>
      </c>
      <c r="D17">
        <v>86</v>
      </c>
      <c r="E17">
        <v>71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>
        <f t="shared" si="0"/>
        <v>259</v>
      </c>
      <c r="P17" t="s">
        <v>18</v>
      </c>
      <c r="Q17" t="s">
        <v>46</v>
      </c>
      <c r="R17">
        <v>0</v>
      </c>
      <c r="S17">
        <v>0</v>
      </c>
      <c r="T17">
        <f t="shared" si="1"/>
        <v>259</v>
      </c>
    </row>
    <row r="18" spans="1:20" x14ac:dyDescent="0.3">
      <c r="A18" t="s">
        <v>12</v>
      </c>
      <c r="B18" t="s">
        <v>20</v>
      </c>
      <c r="C18">
        <v>183</v>
      </c>
      <c r="D18">
        <v>157</v>
      </c>
      <c r="E18">
        <v>110</v>
      </c>
      <c r="F18">
        <v>201</v>
      </c>
      <c r="G18">
        <v>168</v>
      </c>
      <c r="H18">
        <v>114</v>
      </c>
      <c r="I18">
        <v>129</v>
      </c>
      <c r="J18">
        <v>125</v>
      </c>
      <c r="K18">
        <v>98</v>
      </c>
      <c r="L18">
        <v>141</v>
      </c>
      <c r="M18">
        <v>84</v>
      </c>
      <c r="N18">
        <v>33</v>
      </c>
      <c r="O18">
        <f t="shared" si="0"/>
        <v>1543</v>
      </c>
      <c r="P18" t="s">
        <v>44</v>
      </c>
      <c r="Q18" t="s">
        <v>46</v>
      </c>
      <c r="R18">
        <v>-61</v>
      </c>
      <c r="S18">
        <v>-84</v>
      </c>
      <c r="T18">
        <f t="shared" si="1"/>
        <v>1543</v>
      </c>
    </row>
    <row r="19" spans="1:20" x14ac:dyDescent="0.3">
      <c r="A19" t="s">
        <v>12</v>
      </c>
      <c r="B19" t="s">
        <v>21</v>
      </c>
      <c r="C19" s="1">
        <v>11831</v>
      </c>
      <c r="D19" s="1">
        <v>8933</v>
      </c>
      <c r="E19" s="1">
        <v>9614</v>
      </c>
      <c r="F19" s="1">
        <v>9120</v>
      </c>
      <c r="G19" s="1">
        <v>9327</v>
      </c>
      <c r="H19" s="1">
        <v>9890</v>
      </c>
      <c r="I19" s="1">
        <v>8840</v>
      </c>
      <c r="J19" s="1">
        <v>9085</v>
      </c>
      <c r="K19" s="1">
        <v>10259</v>
      </c>
      <c r="L19" s="1">
        <v>10901</v>
      </c>
      <c r="M19" s="1">
        <v>9754</v>
      </c>
      <c r="N19" s="1">
        <v>10265</v>
      </c>
      <c r="O19">
        <f t="shared" si="0"/>
        <v>117819</v>
      </c>
      <c r="P19" t="s">
        <v>43</v>
      </c>
      <c r="Q19" t="s">
        <v>46</v>
      </c>
      <c r="R19">
        <v>5</v>
      </c>
      <c r="S19">
        <v>-1</v>
      </c>
      <c r="T19">
        <f t="shared" si="1"/>
        <v>117819</v>
      </c>
    </row>
    <row r="20" spans="1:20" x14ac:dyDescent="0.3">
      <c r="A20" t="s">
        <v>12</v>
      </c>
      <c r="B20" t="s">
        <v>22</v>
      </c>
      <c r="C20" s="1">
        <v>2172</v>
      </c>
      <c r="D20" s="1">
        <v>1680</v>
      </c>
      <c r="E20" s="1">
        <v>1716</v>
      </c>
      <c r="F20" s="1">
        <v>1571</v>
      </c>
      <c r="G20" s="1">
        <v>1381</v>
      </c>
      <c r="H20" s="1">
        <v>1424</v>
      </c>
      <c r="I20" s="1">
        <v>1420</v>
      </c>
      <c r="J20" s="1">
        <v>1194</v>
      </c>
      <c r="K20" s="1">
        <v>1198</v>
      </c>
      <c r="L20" s="1">
        <v>1272</v>
      </c>
      <c r="M20" s="1">
        <v>1213</v>
      </c>
      <c r="N20">
        <v>872</v>
      </c>
      <c r="O20">
        <f t="shared" si="0"/>
        <v>17113</v>
      </c>
      <c r="P20" t="s">
        <v>9</v>
      </c>
      <c r="Q20" t="s">
        <v>10</v>
      </c>
      <c r="R20">
        <v>-28</v>
      </c>
      <c r="S20">
        <v>22</v>
      </c>
      <c r="T20">
        <f t="shared" si="1"/>
        <v>17113</v>
      </c>
    </row>
    <row r="21" spans="1:20" x14ac:dyDescent="0.3">
      <c r="A21" t="s">
        <v>23</v>
      </c>
      <c r="B21" t="s">
        <v>24</v>
      </c>
      <c r="C21">
        <v>286</v>
      </c>
      <c r="D21">
        <v>204</v>
      </c>
      <c r="E21">
        <v>329</v>
      </c>
      <c r="F21">
        <v>282</v>
      </c>
      <c r="G21">
        <v>269</v>
      </c>
      <c r="H21">
        <v>216</v>
      </c>
      <c r="I21">
        <v>213</v>
      </c>
      <c r="J21">
        <v>280</v>
      </c>
      <c r="K21">
        <v>310</v>
      </c>
      <c r="L21">
        <v>236</v>
      </c>
      <c r="M21">
        <v>188</v>
      </c>
      <c r="N21">
        <v>175</v>
      </c>
      <c r="O21">
        <f t="shared" si="0"/>
        <v>2988</v>
      </c>
      <c r="P21" t="s">
        <v>45</v>
      </c>
      <c r="Q21" t="s">
        <v>46</v>
      </c>
      <c r="R21">
        <v>-7</v>
      </c>
      <c r="S21">
        <v>-29</v>
      </c>
      <c r="T21">
        <f t="shared" si="1"/>
        <v>2988</v>
      </c>
    </row>
    <row r="22" spans="1:20" x14ac:dyDescent="0.3">
      <c r="A22" t="s">
        <v>23</v>
      </c>
      <c r="B22" t="s">
        <v>25</v>
      </c>
      <c r="C22">
        <v>110</v>
      </c>
      <c r="D22">
        <v>127</v>
      </c>
      <c r="E22">
        <v>96</v>
      </c>
      <c r="F22">
        <v>95</v>
      </c>
      <c r="G22">
        <v>75</v>
      </c>
      <c r="H22">
        <v>65</v>
      </c>
      <c r="I22">
        <v>63</v>
      </c>
      <c r="J22">
        <v>60</v>
      </c>
      <c r="K22">
        <v>55</v>
      </c>
      <c r="L22">
        <v>188</v>
      </c>
      <c r="M22">
        <v>173</v>
      </c>
      <c r="N22">
        <v>111</v>
      </c>
      <c r="O22">
        <f t="shared" si="0"/>
        <v>1218</v>
      </c>
      <c r="P22" s="2" t="s">
        <v>44</v>
      </c>
      <c r="Q22" t="s">
        <v>46</v>
      </c>
      <c r="R22">
        <v>-36</v>
      </c>
      <c r="S22">
        <v>-42</v>
      </c>
      <c r="T22">
        <f t="shared" si="1"/>
        <v>1218</v>
      </c>
    </row>
    <row r="23" spans="1:20" x14ac:dyDescent="0.3">
      <c r="A23" t="s">
        <v>23</v>
      </c>
      <c r="B23" t="s">
        <v>33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0"/>
        <v>0</v>
      </c>
      <c r="P23" t="s">
        <v>18</v>
      </c>
      <c r="Q23" t="s">
        <v>46</v>
      </c>
      <c r="R23">
        <v>0</v>
      </c>
      <c r="S23">
        <v>0</v>
      </c>
      <c r="T23">
        <f t="shared" si="1"/>
        <v>0</v>
      </c>
    </row>
    <row r="24" spans="1:20" x14ac:dyDescent="0.3">
      <c r="A24" t="s">
        <v>26</v>
      </c>
      <c r="B24" t="s">
        <v>27</v>
      </c>
      <c r="C24" s="1">
        <v>5848</v>
      </c>
      <c r="D24" s="1">
        <v>4832</v>
      </c>
      <c r="E24" s="1">
        <v>4737</v>
      </c>
      <c r="F24" s="1">
        <v>5328</v>
      </c>
      <c r="G24" s="1">
        <v>5316</v>
      </c>
      <c r="H24" s="1">
        <v>5154</v>
      </c>
      <c r="I24" s="1">
        <v>5679</v>
      </c>
      <c r="J24" s="1">
        <v>5881</v>
      </c>
      <c r="K24" s="1">
        <v>6217</v>
      </c>
      <c r="L24" s="1">
        <v>6384</v>
      </c>
      <c r="M24" s="1">
        <v>5672</v>
      </c>
      <c r="N24" s="1">
        <v>2626</v>
      </c>
      <c r="O24">
        <f t="shared" si="0"/>
        <v>63674</v>
      </c>
      <c r="P24" t="s">
        <v>50</v>
      </c>
      <c r="Q24" t="s">
        <v>29</v>
      </c>
      <c r="R24">
        <v>-54</v>
      </c>
      <c r="S24">
        <v>2</v>
      </c>
      <c r="T24">
        <f t="shared" si="1"/>
        <v>63674</v>
      </c>
    </row>
    <row r="25" spans="1:20" x14ac:dyDescent="0.3">
      <c r="A25" t="s">
        <v>26</v>
      </c>
      <c r="B25" t="s">
        <v>28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>
        <v>0</v>
      </c>
      <c r="J25">
        <v>0</v>
      </c>
      <c r="K25">
        <v>0</v>
      </c>
      <c r="L25">
        <v>255</v>
      </c>
      <c r="M25">
        <v>241</v>
      </c>
      <c r="N25">
        <v>103</v>
      </c>
      <c r="O25">
        <f t="shared" si="0"/>
        <v>599</v>
      </c>
      <c r="P25" t="s">
        <v>44</v>
      </c>
      <c r="Q25" t="s">
        <v>29</v>
      </c>
      <c r="R25">
        <v>-57</v>
      </c>
      <c r="S25">
        <v>0</v>
      </c>
      <c r="T25">
        <f t="shared" si="1"/>
        <v>599</v>
      </c>
    </row>
    <row r="26" spans="1:20" x14ac:dyDescent="0.3">
      <c r="A26" t="s">
        <v>26</v>
      </c>
      <c r="B26" t="s">
        <v>30</v>
      </c>
      <c r="C26" s="1">
        <v>0</v>
      </c>
      <c r="D26" s="1">
        <v>1</v>
      </c>
      <c r="E26" s="1">
        <v>1</v>
      </c>
      <c r="F26">
        <v>5</v>
      </c>
      <c r="G26">
        <v>15</v>
      </c>
      <c r="H26">
        <v>24</v>
      </c>
      <c r="I26">
        <v>22</v>
      </c>
      <c r="J26">
        <v>33</v>
      </c>
      <c r="K26">
        <v>12</v>
      </c>
      <c r="L26">
        <v>50</v>
      </c>
      <c r="M26">
        <v>68</v>
      </c>
      <c r="N26">
        <v>61</v>
      </c>
      <c r="O26">
        <f t="shared" si="0"/>
        <v>292</v>
      </c>
      <c r="P26" t="s">
        <v>18</v>
      </c>
      <c r="Q26" t="s">
        <v>46</v>
      </c>
      <c r="R26">
        <v>-10</v>
      </c>
      <c r="S26">
        <v>917</v>
      </c>
      <c r="T26">
        <f t="shared" si="1"/>
        <v>292</v>
      </c>
    </row>
    <row r="27" spans="1:20" x14ac:dyDescent="0.3">
      <c r="A27" t="s">
        <v>26</v>
      </c>
      <c r="B27" t="s">
        <v>31</v>
      </c>
      <c r="C27" s="1">
        <v>6391</v>
      </c>
      <c r="D27" s="1">
        <v>6265</v>
      </c>
      <c r="E27" s="1">
        <v>7912</v>
      </c>
      <c r="F27" s="1">
        <v>6734</v>
      </c>
      <c r="G27" s="1">
        <v>6736</v>
      </c>
      <c r="H27" s="1">
        <v>6306</v>
      </c>
      <c r="I27" s="1">
        <v>5347</v>
      </c>
      <c r="J27" s="1">
        <v>6536</v>
      </c>
      <c r="K27" s="1">
        <v>6959</v>
      </c>
      <c r="L27" s="1">
        <v>6365</v>
      </c>
      <c r="M27" s="1">
        <v>5364</v>
      </c>
      <c r="N27" s="1">
        <v>2830</v>
      </c>
      <c r="O27">
        <f t="shared" si="0"/>
        <v>73745</v>
      </c>
      <c r="P27" t="s">
        <v>9</v>
      </c>
      <c r="Q27" t="s">
        <v>46</v>
      </c>
      <c r="R27">
        <v>-47</v>
      </c>
      <c r="S27">
        <v>-72</v>
      </c>
      <c r="T27">
        <f t="shared" si="1"/>
        <v>73745</v>
      </c>
    </row>
    <row r="28" spans="1:20" x14ac:dyDescent="0.3">
      <c r="A28" t="s">
        <v>26</v>
      </c>
      <c r="B28" t="s">
        <v>32</v>
      </c>
      <c r="C28" s="1">
        <v>11530</v>
      </c>
      <c r="D28" s="1">
        <v>9102</v>
      </c>
      <c r="E28" s="1">
        <v>8750</v>
      </c>
      <c r="F28" s="1">
        <v>7901</v>
      </c>
      <c r="G28" s="1">
        <v>7433</v>
      </c>
      <c r="H28" s="1">
        <v>9816</v>
      </c>
      <c r="I28" s="1">
        <v>9459</v>
      </c>
      <c r="J28" s="1">
        <v>10073</v>
      </c>
      <c r="K28" s="1">
        <v>10335</v>
      </c>
      <c r="L28" s="1">
        <v>9699</v>
      </c>
      <c r="M28" s="1">
        <v>9255</v>
      </c>
      <c r="N28" s="1">
        <v>3337</v>
      </c>
      <c r="O28">
        <f t="shared" si="0"/>
        <v>106690</v>
      </c>
      <c r="P28" t="s">
        <v>43</v>
      </c>
      <c r="Q28" t="s">
        <v>46</v>
      </c>
      <c r="R28">
        <v>-64</v>
      </c>
      <c r="S28">
        <v>33270</v>
      </c>
      <c r="T28">
        <f t="shared" si="1"/>
        <v>106690</v>
      </c>
    </row>
    <row r="29" spans="1:20" x14ac:dyDescent="0.3">
      <c r="A29" t="s">
        <v>51</v>
      </c>
      <c r="B29" t="s">
        <v>52</v>
      </c>
      <c r="C29" s="1">
        <v>9964</v>
      </c>
      <c r="D29" s="1">
        <v>10113</v>
      </c>
      <c r="E29" s="1">
        <v>10347</v>
      </c>
      <c r="F29" s="1">
        <v>9537</v>
      </c>
      <c r="G29" s="1">
        <v>8026</v>
      </c>
      <c r="H29" s="1">
        <v>7365</v>
      </c>
      <c r="I29" s="1">
        <v>6930</v>
      </c>
      <c r="J29" s="1">
        <v>6494</v>
      </c>
      <c r="K29" s="1">
        <v>8180</v>
      </c>
      <c r="L29" s="1">
        <v>9849</v>
      </c>
      <c r="M29" s="1">
        <v>7045</v>
      </c>
      <c r="N29" s="1">
        <v>5921</v>
      </c>
      <c r="O29">
        <f t="shared" si="0"/>
        <v>99771</v>
      </c>
      <c r="P29" t="s">
        <v>50</v>
      </c>
      <c r="Q29" t="s">
        <v>29</v>
      </c>
      <c r="R29">
        <v>-16</v>
      </c>
      <c r="S29">
        <v>-26</v>
      </c>
      <c r="T29">
        <f t="shared" si="1"/>
        <v>99771</v>
      </c>
    </row>
    <row r="30" spans="1:20" x14ac:dyDescent="0.3">
      <c r="A30" t="s">
        <v>51</v>
      </c>
      <c r="B30" t="s">
        <v>53</v>
      </c>
      <c r="C30">
        <v>32</v>
      </c>
      <c r="D30">
        <v>51</v>
      </c>
      <c r="E30">
        <v>51</v>
      </c>
      <c r="F30">
        <v>20</v>
      </c>
      <c r="G30">
        <v>16</v>
      </c>
      <c r="H30">
        <v>12</v>
      </c>
      <c r="I30">
        <v>14</v>
      </c>
      <c r="J30">
        <v>8</v>
      </c>
      <c r="K30">
        <v>7</v>
      </c>
      <c r="L30">
        <v>37</v>
      </c>
      <c r="M30">
        <v>9</v>
      </c>
      <c r="N30">
        <v>16</v>
      </c>
      <c r="O30">
        <f t="shared" si="0"/>
        <v>273</v>
      </c>
      <c r="P30" t="s">
        <v>50</v>
      </c>
      <c r="Q30" t="s">
        <v>29</v>
      </c>
      <c r="R30">
        <v>78</v>
      </c>
      <c r="S30">
        <v>-74</v>
      </c>
      <c r="T30">
        <f t="shared" si="1"/>
        <v>273</v>
      </c>
    </row>
    <row r="31" spans="1:20" x14ac:dyDescent="0.3">
      <c r="A31" t="s">
        <v>51</v>
      </c>
      <c r="B31" t="s">
        <v>54</v>
      </c>
      <c r="C31" s="1">
        <v>14293</v>
      </c>
      <c r="D31" s="1">
        <v>15051</v>
      </c>
      <c r="E31" s="1">
        <v>15151</v>
      </c>
      <c r="F31" s="1">
        <v>14807</v>
      </c>
      <c r="G31" s="1">
        <v>13717</v>
      </c>
      <c r="H31" s="1">
        <v>12307</v>
      </c>
      <c r="I31" s="1">
        <v>12237</v>
      </c>
      <c r="J31" s="1">
        <v>13787</v>
      </c>
      <c r="K31" s="1">
        <v>14438</v>
      </c>
      <c r="L31" s="1">
        <v>15677</v>
      </c>
      <c r="M31" s="1">
        <v>12704</v>
      </c>
      <c r="N31" s="1">
        <v>12195</v>
      </c>
      <c r="O31">
        <f t="shared" si="0"/>
        <v>166364</v>
      </c>
      <c r="P31" t="s">
        <v>9</v>
      </c>
      <c r="Q31" t="s">
        <v>46</v>
      </c>
      <c r="R31">
        <v>-4</v>
      </c>
      <c r="S31">
        <v>7</v>
      </c>
      <c r="T31">
        <f t="shared" si="1"/>
        <v>166364</v>
      </c>
    </row>
    <row r="32" spans="1:20" x14ac:dyDescent="0.3">
      <c r="A32" t="s">
        <v>51</v>
      </c>
      <c r="B32" t="s">
        <v>55</v>
      </c>
      <c r="C32" s="1">
        <v>6059</v>
      </c>
      <c r="D32" s="1">
        <v>5812</v>
      </c>
      <c r="E32" s="1">
        <v>6049</v>
      </c>
      <c r="F32" s="1">
        <v>6160</v>
      </c>
      <c r="G32" s="1">
        <v>5750</v>
      </c>
      <c r="H32" s="1">
        <v>5376</v>
      </c>
      <c r="I32" s="1">
        <v>4385</v>
      </c>
      <c r="J32" s="1">
        <v>4268</v>
      </c>
      <c r="K32" s="1">
        <v>8843</v>
      </c>
      <c r="L32" s="1">
        <v>7944</v>
      </c>
      <c r="M32" s="1">
        <v>8708</v>
      </c>
      <c r="N32" s="1">
        <v>7659</v>
      </c>
      <c r="O32">
        <f t="shared" si="0"/>
        <v>77013</v>
      </c>
      <c r="P32" t="s">
        <v>50</v>
      </c>
      <c r="Q32" t="s">
        <v>46</v>
      </c>
      <c r="R32">
        <v>-12</v>
      </c>
      <c r="S32">
        <v>32</v>
      </c>
      <c r="T32">
        <f t="shared" si="1"/>
        <v>77013</v>
      </c>
    </row>
    <row r="33" spans="1:20" x14ac:dyDescent="0.3">
      <c r="A33" t="s">
        <v>51</v>
      </c>
      <c r="B33" t="s">
        <v>56</v>
      </c>
      <c r="C33" s="1">
        <v>4817</v>
      </c>
      <c r="D33" s="1">
        <v>4218</v>
      </c>
      <c r="E33">
        <v>2072</v>
      </c>
      <c r="F33" s="1">
        <v>4003</v>
      </c>
      <c r="G33" s="1">
        <v>10000</v>
      </c>
      <c r="H33" s="1">
        <v>8500</v>
      </c>
      <c r="I33" s="1">
        <v>10000</v>
      </c>
      <c r="J33" s="1">
        <v>9000</v>
      </c>
      <c r="K33" s="1">
        <v>9000</v>
      </c>
      <c r="L33" s="1">
        <v>9562</v>
      </c>
      <c r="M33" s="1">
        <v>7656</v>
      </c>
      <c r="N33" s="1">
        <v>7000</v>
      </c>
      <c r="O33">
        <f t="shared" si="0"/>
        <v>85828</v>
      </c>
      <c r="P33" t="s">
        <v>43</v>
      </c>
      <c r="Q33" t="s">
        <v>46</v>
      </c>
      <c r="R33">
        <v>-9</v>
      </c>
      <c r="S33">
        <v>97</v>
      </c>
      <c r="T33">
        <f t="shared" si="1"/>
        <v>85828</v>
      </c>
    </row>
    <row r="34" spans="1:20" x14ac:dyDescent="0.3">
      <c r="A34" t="s">
        <v>51</v>
      </c>
      <c r="B34" t="s">
        <v>57</v>
      </c>
      <c r="C34">
        <v>697</v>
      </c>
      <c r="D34">
        <v>610</v>
      </c>
      <c r="E34">
        <v>350</v>
      </c>
      <c r="F34">
        <v>347</v>
      </c>
      <c r="G34">
        <v>701</v>
      </c>
      <c r="H34">
        <v>534</v>
      </c>
      <c r="I34">
        <v>288</v>
      </c>
      <c r="J34">
        <v>713</v>
      </c>
      <c r="K34">
        <v>948</v>
      </c>
      <c r="L34" s="1">
        <v>1000</v>
      </c>
      <c r="M34" s="1">
        <v>1000</v>
      </c>
      <c r="N34" s="1">
        <v>1296</v>
      </c>
      <c r="O34">
        <f t="shared" si="0"/>
        <v>8484</v>
      </c>
      <c r="P34" t="s">
        <v>9</v>
      </c>
      <c r="Q34" t="s">
        <v>46</v>
      </c>
      <c r="R34">
        <v>30</v>
      </c>
      <c r="S34">
        <v>142</v>
      </c>
      <c r="T34">
        <f t="shared" si="1"/>
        <v>8484</v>
      </c>
    </row>
    <row r="35" spans="1:20" x14ac:dyDescent="0.3">
      <c r="A35" t="s">
        <v>51</v>
      </c>
      <c r="B35" t="s">
        <v>58</v>
      </c>
      <c r="C35" s="1">
        <v>7206</v>
      </c>
      <c r="D35" s="1">
        <v>6546</v>
      </c>
      <c r="E35" s="1">
        <v>6611</v>
      </c>
      <c r="F35" s="1">
        <v>6134</v>
      </c>
      <c r="G35" s="1">
        <v>5008</v>
      </c>
      <c r="H35" s="1">
        <v>5928</v>
      </c>
      <c r="I35" s="1">
        <v>7769</v>
      </c>
      <c r="J35" s="1">
        <v>9007</v>
      </c>
      <c r="K35" s="1">
        <v>9646</v>
      </c>
      <c r="L35" s="1">
        <v>10435</v>
      </c>
      <c r="M35" s="1">
        <v>9100</v>
      </c>
      <c r="N35" s="1">
        <v>7337</v>
      </c>
      <c r="O35">
        <f t="shared" si="0"/>
        <v>90727</v>
      </c>
      <c r="P35" t="s">
        <v>45</v>
      </c>
      <c r="Q35" t="s">
        <v>46</v>
      </c>
      <c r="R35">
        <v>-19</v>
      </c>
      <c r="S35">
        <v>25</v>
      </c>
      <c r="T35">
        <f t="shared" si="1"/>
        <v>90727</v>
      </c>
    </row>
    <row r="36" spans="1:20" x14ac:dyDescent="0.3">
      <c r="A36" t="s">
        <v>59</v>
      </c>
      <c r="B36" t="s">
        <v>60</v>
      </c>
      <c r="C36" s="1">
        <v>12395</v>
      </c>
      <c r="D36" s="1">
        <v>11723</v>
      </c>
      <c r="E36" s="1">
        <v>9332</v>
      </c>
      <c r="F36" s="1">
        <v>9043</v>
      </c>
      <c r="G36" s="1">
        <v>7675</v>
      </c>
      <c r="H36" s="1">
        <v>7775</v>
      </c>
      <c r="I36" s="1">
        <v>7353</v>
      </c>
      <c r="J36" s="1">
        <v>8546</v>
      </c>
      <c r="K36" s="1">
        <v>8655</v>
      </c>
      <c r="L36" s="1">
        <v>8548</v>
      </c>
      <c r="M36" s="1">
        <v>7467</v>
      </c>
      <c r="N36" s="1">
        <v>7410</v>
      </c>
      <c r="O36">
        <f t="shared" si="0"/>
        <v>105922</v>
      </c>
      <c r="P36" t="s">
        <v>61</v>
      </c>
      <c r="Q36" t="s">
        <v>47</v>
      </c>
      <c r="R36">
        <v>-1</v>
      </c>
      <c r="S36">
        <v>197</v>
      </c>
      <c r="T36">
        <f t="shared" si="1"/>
        <v>105922</v>
      </c>
    </row>
    <row r="37" spans="1:20" x14ac:dyDescent="0.3">
      <c r="A37" t="s">
        <v>59</v>
      </c>
      <c r="B37" t="s">
        <v>62</v>
      </c>
      <c r="C37" s="1">
        <v>19630</v>
      </c>
      <c r="D37" s="1">
        <v>17517</v>
      </c>
      <c r="E37" s="1">
        <v>15588</v>
      </c>
      <c r="F37" s="1">
        <v>14049</v>
      </c>
      <c r="G37" s="1">
        <v>12842</v>
      </c>
      <c r="H37" s="1">
        <v>14895</v>
      </c>
      <c r="I37" s="1">
        <v>9309</v>
      </c>
      <c r="J37" s="1">
        <v>12485</v>
      </c>
      <c r="K37" s="1">
        <v>14292</v>
      </c>
      <c r="L37" s="1">
        <v>16082</v>
      </c>
      <c r="M37" s="1">
        <v>16293</v>
      </c>
      <c r="N37" s="1">
        <v>9112</v>
      </c>
      <c r="O37">
        <f t="shared" si="0"/>
        <v>172094</v>
      </c>
      <c r="P37" t="s">
        <v>17</v>
      </c>
      <c r="Q37" t="s">
        <v>47</v>
      </c>
      <c r="R37">
        <v>-44</v>
      </c>
      <c r="S37">
        <v>-15</v>
      </c>
      <c r="T37">
        <f t="shared" si="1"/>
        <v>172094</v>
      </c>
    </row>
    <row r="38" spans="1:20" x14ac:dyDescent="0.3">
      <c r="A38" t="s">
        <v>59</v>
      </c>
      <c r="B38" t="s">
        <v>63</v>
      </c>
      <c r="C38" s="1">
        <v>15303</v>
      </c>
      <c r="D38" s="1">
        <v>15765</v>
      </c>
      <c r="E38" s="1">
        <v>14614</v>
      </c>
      <c r="F38" s="1">
        <v>17113</v>
      </c>
      <c r="G38" s="1">
        <v>14186</v>
      </c>
      <c r="H38" s="1">
        <v>13172</v>
      </c>
      <c r="I38" s="1">
        <v>14676</v>
      </c>
      <c r="J38" s="1">
        <v>19190</v>
      </c>
      <c r="K38" s="1">
        <v>15322</v>
      </c>
      <c r="L38" s="1">
        <v>16565</v>
      </c>
      <c r="M38" s="1">
        <v>14918</v>
      </c>
      <c r="N38" s="1">
        <v>17336</v>
      </c>
      <c r="O38">
        <f t="shared" si="0"/>
        <v>188160</v>
      </c>
      <c r="P38" t="s">
        <v>43</v>
      </c>
      <c r="Q38" t="s">
        <v>46</v>
      </c>
      <c r="R38">
        <v>16</v>
      </c>
      <c r="S38">
        <v>35</v>
      </c>
      <c r="T38">
        <f t="shared" si="1"/>
        <v>188160</v>
      </c>
    </row>
    <row r="39" spans="1:20" x14ac:dyDescent="0.3">
      <c r="A39" t="s">
        <v>59</v>
      </c>
      <c r="B39" t="s">
        <v>64</v>
      </c>
      <c r="C39" s="1">
        <v>4406</v>
      </c>
      <c r="D39" s="1">
        <v>3586</v>
      </c>
      <c r="E39" s="1">
        <v>3478</v>
      </c>
      <c r="F39" s="1">
        <v>3220</v>
      </c>
      <c r="G39" s="1">
        <v>3314</v>
      </c>
      <c r="H39" s="1">
        <v>2985</v>
      </c>
      <c r="I39" s="1">
        <v>2465</v>
      </c>
      <c r="J39" s="1">
        <v>3181</v>
      </c>
      <c r="K39" s="1">
        <v>3241</v>
      </c>
      <c r="L39" s="1">
        <v>3044</v>
      </c>
      <c r="M39" s="1">
        <v>2379</v>
      </c>
      <c r="N39">
        <v>748</v>
      </c>
      <c r="O39">
        <f t="shared" si="0"/>
        <v>36047</v>
      </c>
      <c r="P39" t="s">
        <v>65</v>
      </c>
      <c r="Q39" t="s">
        <v>47</v>
      </c>
      <c r="R39">
        <v>-69</v>
      </c>
      <c r="S39">
        <v>203</v>
      </c>
      <c r="T39">
        <f t="shared" si="1"/>
        <v>36047</v>
      </c>
    </row>
    <row r="40" spans="1:20" x14ac:dyDescent="0.3">
      <c r="A40" t="s">
        <v>59</v>
      </c>
      <c r="B40" t="s">
        <v>66</v>
      </c>
      <c r="C40">
        <v>363</v>
      </c>
      <c r="D40">
        <v>481</v>
      </c>
      <c r="E40">
        <v>590</v>
      </c>
      <c r="F40">
        <v>867</v>
      </c>
      <c r="G40">
        <v>730</v>
      </c>
      <c r="H40">
        <v>572</v>
      </c>
      <c r="I40">
        <v>603</v>
      </c>
      <c r="J40">
        <v>707</v>
      </c>
      <c r="K40">
        <v>662</v>
      </c>
      <c r="L40">
        <v>659</v>
      </c>
      <c r="M40">
        <v>597</v>
      </c>
      <c r="N40">
        <v>464</v>
      </c>
      <c r="O40">
        <f t="shared" si="0"/>
        <v>7295</v>
      </c>
      <c r="P40" t="s">
        <v>9</v>
      </c>
      <c r="Q40" t="s">
        <v>10</v>
      </c>
      <c r="R40">
        <v>-22</v>
      </c>
      <c r="S40">
        <v>-5</v>
      </c>
      <c r="T40">
        <f t="shared" si="1"/>
        <v>7295</v>
      </c>
    </row>
    <row r="41" spans="1:20" x14ac:dyDescent="0.3">
      <c r="A41" t="s">
        <v>59</v>
      </c>
      <c r="B41" t="s">
        <v>132</v>
      </c>
      <c r="C41" s="1">
        <v>16773</v>
      </c>
      <c r="D41" s="1">
        <v>15837</v>
      </c>
      <c r="E41" s="1">
        <v>15894</v>
      </c>
      <c r="F41" s="1">
        <v>15825</v>
      </c>
      <c r="G41" s="1">
        <v>16061</v>
      </c>
      <c r="H41" s="1">
        <v>13421</v>
      </c>
      <c r="I41" s="1">
        <v>11647</v>
      </c>
      <c r="J41" s="1">
        <v>10627</v>
      </c>
      <c r="K41" s="1">
        <v>10853</v>
      </c>
      <c r="L41" s="1">
        <v>12698</v>
      </c>
      <c r="M41" s="1">
        <v>11779</v>
      </c>
      <c r="N41" s="1">
        <v>16573</v>
      </c>
      <c r="O41">
        <f t="shared" si="0"/>
        <v>167988</v>
      </c>
      <c r="P41" t="s">
        <v>43</v>
      </c>
      <c r="Q41" t="s">
        <v>10</v>
      </c>
      <c r="R41">
        <v>41</v>
      </c>
      <c r="S41">
        <v>18</v>
      </c>
      <c r="T41">
        <f t="shared" si="1"/>
        <v>167988</v>
      </c>
    </row>
    <row r="42" spans="1:20" x14ac:dyDescent="0.3">
      <c r="A42" t="s">
        <v>59</v>
      </c>
      <c r="B42" t="s">
        <v>67</v>
      </c>
      <c r="C42" s="1">
        <v>12019</v>
      </c>
      <c r="D42" s="1">
        <v>12147</v>
      </c>
      <c r="E42" s="1">
        <v>12019</v>
      </c>
      <c r="F42" s="1">
        <v>12060</v>
      </c>
      <c r="G42" s="1">
        <v>10960</v>
      </c>
      <c r="H42" s="1">
        <v>10771</v>
      </c>
      <c r="I42" s="1">
        <v>11916</v>
      </c>
      <c r="J42" s="1">
        <v>10985</v>
      </c>
      <c r="K42" s="1">
        <v>11908</v>
      </c>
      <c r="L42" s="1">
        <v>11653</v>
      </c>
      <c r="M42" s="1">
        <v>10589</v>
      </c>
      <c r="N42" s="1">
        <v>11678</v>
      </c>
      <c r="O42">
        <f t="shared" si="0"/>
        <v>138705</v>
      </c>
      <c r="P42" t="s">
        <v>50</v>
      </c>
      <c r="Q42" t="s">
        <v>29</v>
      </c>
      <c r="R42">
        <v>10</v>
      </c>
      <c r="S42">
        <v>16</v>
      </c>
      <c r="T42">
        <f t="shared" si="1"/>
        <v>138705</v>
      </c>
    </row>
    <row r="43" spans="1:20" x14ac:dyDescent="0.3">
      <c r="A43" t="s">
        <v>59</v>
      </c>
      <c r="B43" t="s">
        <v>68</v>
      </c>
      <c r="C43" s="1">
        <v>14632</v>
      </c>
      <c r="D43" s="1">
        <v>15519</v>
      </c>
      <c r="E43" s="1">
        <v>14888</v>
      </c>
      <c r="F43" s="1">
        <v>13544</v>
      </c>
      <c r="G43" s="1">
        <v>13893</v>
      </c>
      <c r="H43" s="1">
        <v>15902</v>
      </c>
      <c r="I43" s="1">
        <v>15701</v>
      </c>
      <c r="J43" s="1">
        <v>18580</v>
      </c>
      <c r="K43" s="1">
        <v>17441</v>
      </c>
      <c r="L43" s="1">
        <v>18785</v>
      </c>
      <c r="M43" s="1">
        <v>15150</v>
      </c>
      <c r="N43" s="1">
        <v>16056</v>
      </c>
      <c r="O43">
        <f t="shared" si="0"/>
        <v>190091</v>
      </c>
      <c r="P43" t="s">
        <v>50</v>
      </c>
      <c r="Q43" t="s">
        <v>29</v>
      </c>
      <c r="R43">
        <v>6</v>
      </c>
      <c r="S43">
        <v>24</v>
      </c>
      <c r="T43">
        <f t="shared" si="1"/>
        <v>190091</v>
      </c>
    </row>
    <row r="44" spans="1:20" x14ac:dyDescent="0.3">
      <c r="A44" t="s">
        <v>59</v>
      </c>
      <c r="B44" t="s">
        <v>69</v>
      </c>
      <c r="C44" s="1">
        <v>13643</v>
      </c>
      <c r="D44" s="1">
        <v>14168</v>
      </c>
      <c r="E44" s="1">
        <v>12531</v>
      </c>
      <c r="F44" s="1">
        <v>14286</v>
      </c>
      <c r="G44" s="1">
        <v>12681</v>
      </c>
      <c r="H44" s="1">
        <v>9688</v>
      </c>
      <c r="I44" s="1">
        <v>10925</v>
      </c>
      <c r="J44" s="1">
        <v>12387</v>
      </c>
      <c r="K44" s="1">
        <v>13874</v>
      </c>
      <c r="L44" s="1">
        <v>16419</v>
      </c>
      <c r="M44" s="1">
        <v>14882</v>
      </c>
      <c r="N44" s="1">
        <v>10752</v>
      </c>
      <c r="O44">
        <f t="shared" si="0"/>
        <v>156236</v>
      </c>
      <c r="P44" t="s">
        <v>43</v>
      </c>
      <c r="Q44" t="s">
        <v>46</v>
      </c>
      <c r="R44">
        <v>-28</v>
      </c>
      <c r="S44">
        <v>11</v>
      </c>
      <c r="T44">
        <f t="shared" si="1"/>
        <v>156236</v>
      </c>
    </row>
    <row r="45" spans="1:20" x14ac:dyDescent="0.3">
      <c r="A45" t="s">
        <v>59</v>
      </c>
      <c r="B45" t="s">
        <v>70</v>
      </c>
      <c r="C45" s="1">
        <v>13438</v>
      </c>
      <c r="D45" s="1">
        <v>11002</v>
      </c>
      <c r="E45" s="1">
        <v>11232</v>
      </c>
      <c r="F45" s="1">
        <v>7651</v>
      </c>
      <c r="G45" s="1">
        <v>9736</v>
      </c>
      <c r="H45" s="1">
        <v>9679</v>
      </c>
      <c r="I45" s="1">
        <v>9397</v>
      </c>
      <c r="J45" s="1">
        <v>9021</v>
      </c>
      <c r="K45" s="1">
        <v>10267</v>
      </c>
      <c r="L45" s="1">
        <v>14083</v>
      </c>
      <c r="M45" s="1">
        <v>10148</v>
      </c>
      <c r="N45" s="1">
        <v>7093</v>
      </c>
      <c r="O45">
        <f t="shared" si="0"/>
        <v>122747</v>
      </c>
      <c r="P45" t="s">
        <v>9</v>
      </c>
      <c r="Q45" t="s">
        <v>46</v>
      </c>
      <c r="R45">
        <v>-30</v>
      </c>
      <c r="S45">
        <v>2</v>
      </c>
      <c r="T45">
        <f t="shared" si="1"/>
        <v>122747</v>
      </c>
    </row>
    <row r="46" spans="1:20" x14ac:dyDescent="0.3">
      <c r="A46" t="s">
        <v>59</v>
      </c>
      <c r="B46" t="s">
        <v>71</v>
      </c>
      <c r="C46" s="1">
        <v>2598</v>
      </c>
      <c r="D46" s="1">
        <v>2111</v>
      </c>
      <c r="E46" s="1">
        <v>2788</v>
      </c>
      <c r="F46" s="1">
        <v>1915</v>
      </c>
      <c r="G46" s="1">
        <v>2104</v>
      </c>
      <c r="H46" s="1">
        <v>2536</v>
      </c>
      <c r="I46" s="1">
        <v>2216</v>
      </c>
      <c r="J46" s="1">
        <v>2464</v>
      </c>
      <c r="K46" s="1">
        <v>2514</v>
      </c>
      <c r="L46" s="1">
        <v>2663</v>
      </c>
      <c r="M46" s="1">
        <v>2203</v>
      </c>
      <c r="N46">
        <v>749</v>
      </c>
      <c r="O46">
        <f t="shared" si="0"/>
        <v>26861</v>
      </c>
      <c r="P46" t="s">
        <v>17</v>
      </c>
      <c r="Q46" t="s">
        <v>47</v>
      </c>
      <c r="R46">
        <v>-66</v>
      </c>
      <c r="S46">
        <v>91</v>
      </c>
      <c r="T46">
        <f t="shared" si="1"/>
        <v>26861</v>
      </c>
    </row>
    <row r="47" spans="1:20" x14ac:dyDescent="0.3">
      <c r="A47" t="s">
        <v>59</v>
      </c>
      <c r="B47" t="s">
        <v>72</v>
      </c>
      <c r="C47">
        <v>496</v>
      </c>
      <c r="D47">
        <v>366</v>
      </c>
      <c r="E47">
        <v>348</v>
      </c>
      <c r="F47">
        <v>193</v>
      </c>
      <c r="G47">
        <v>193</v>
      </c>
      <c r="H47">
        <v>128</v>
      </c>
      <c r="I47">
        <v>251</v>
      </c>
      <c r="J47">
        <v>174</v>
      </c>
      <c r="K47">
        <v>312</v>
      </c>
      <c r="L47">
        <v>296</v>
      </c>
      <c r="M47">
        <v>434</v>
      </c>
      <c r="N47">
        <v>825</v>
      </c>
      <c r="O47">
        <f t="shared" si="0"/>
        <v>4016</v>
      </c>
      <c r="P47" t="s">
        <v>45</v>
      </c>
      <c r="Q47" t="s">
        <v>29</v>
      </c>
      <c r="R47">
        <v>90</v>
      </c>
      <c r="S47">
        <v>64</v>
      </c>
      <c r="T47">
        <f t="shared" si="1"/>
        <v>4016</v>
      </c>
    </row>
    <row r="48" spans="1:20" x14ac:dyDescent="0.3">
      <c r="A48" t="s">
        <v>59</v>
      </c>
      <c r="B48" t="s">
        <v>73</v>
      </c>
      <c r="C48">
        <v>163</v>
      </c>
      <c r="D48">
        <v>322</v>
      </c>
      <c r="E48">
        <v>318</v>
      </c>
      <c r="F48">
        <v>257</v>
      </c>
      <c r="G48">
        <v>274</v>
      </c>
      <c r="H48">
        <v>481</v>
      </c>
      <c r="I48" s="1">
        <v>2429</v>
      </c>
      <c r="J48">
        <v>592</v>
      </c>
      <c r="K48">
        <v>599</v>
      </c>
      <c r="L48" s="1">
        <v>1211</v>
      </c>
      <c r="M48">
        <v>988</v>
      </c>
      <c r="N48" s="1">
        <v>1100</v>
      </c>
      <c r="O48">
        <f t="shared" si="0"/>
        <v>8734</v>
      </c>
      <c r="P48" t="s">
        <v>50</v>
      </c>
      <c r="Q48" t="s">
        <v>46</v>
      </c>
      <c r="R48">
        <v>11</v>
      </c>
      <c r="S48">
        <v>51</v>
      </c>
      <c r="T48">
        <f t="shared" si="1"/>
        <v>8734</v>
      </c>
    </row>
    <row r="49" spans="1:20" x14ac:dyDescent="0.3">
      <c r="A49" t="s">
        <v>59</v>
      </c>
      <c r="B49" t="s">
        <v>74</v>
      </c>
      <c r="C49" s="1">
        <v>3454</v>
      </c>
      <c r="D49" s="1">
        <v>3059</v>
      </c>
      <c r="E49" s="1">
        <v>2497</v>
      </c>
      <c r="F49" s="1">
        <v>2476</v>
      </c>
      <c r="G49" s="1">
        <v>2227</v>
      </c>
      <c r="H49" s="1">
        <v>1620</v>
      </c>
      <c r="I49" s="1">
        <v>2607</v>
      </c>
      <c r="J49" s="1">
        <v>2102</v>
      </c>
      <c r="K49" s="1">
        <v>1708</v>
      </c>
      <c r="L49" s="1">
        <v>2139</v>
      </c>
      <c r="M49" s="1">
        <v>2283</v>
      </c>
      <c r="N49">
        <v>8</v>
      </c>
      <c r="O49">
        <f t="shared" si="0"/>
        <v>26180</v>
      </c>
      <c r="P49" t="s">
        <v>61</v>
      </c>
      <c r="Q49" t="s">
        <v>47</v>
      </c>
      <c r="R49">
        <v>-100</v>
      </c>
      <c r="S49">
        <v>-87</v>
      </c>
      <c r="T49">
        <f t="shared" si="1"/>
        <v>26180</v>
      </c>
    </row>
    <row r="50" spans="1:20" x14ac:dyDescent="0.3">
      <c r="A50" t="s">
        <v>59</v>
      </c>
      <c r="B50" t="s">
        <v>75</v>
      </c>
      <c r="C50" s="1">
        <v>15370</v>
      </c>
      <c r="D50" s="1">
        <v>13165</v>
      </c>
      <c r="E50" s="1">
        <v>15728</v>
      </c>
      <c r="F50" s="1">
        <v>4094</v>
      </c>
      <c r="G50" s="1">
        <v>19393</v>
      </c>
      <c r="H50" s="1">
        <v>16422</v>
      </c>
      <c r="I50" s="1">
        <v>16854</v>
      </c>
      <c r="J50" s="1">
        <v>12844</v>
      </c>
      <c r="K50" s="1">
        <v>16241</v>
      </c>
      <c r="L50" s="1">
        <v>17539</v>
      </c>
      <c r="M50" s="1">
        <v>14737</v>
      </c>
      <c r="N50" s="1">
        <v>10421</v>
      </c>
      <c r="O50">
        <f t="shared" si="0"/>
        <v>172808</v>
      </c>
      <c r="P50" t="s">
        <v>17</v>
      </c>
      <c r="Q50" t="s">
        <v>47</v>
      </c>
      <c r="R50">
        <v>-29</v>
      </c>
      <c r="S50">
        <v>-12</v>
      </c>
      <c r="T50">
        <f t="shared" si="1"/>
        <v>172808</v>
      </c>
    </row>
    <row r="51" spans="1:20" x14ac:dyDescent="0.3">
      <c r="A51" t="s">
        <v>59</v>
      </c>
      <c r="B51" t="s">
        <v>76</v>
      </c>
      <c r="C51" s="1">
        <v>17756</v>
      </c>
      <c r="D51" s="1">
        <v>19412</v>
      </c>
      <c r="E51" s="1">
        <v>16368</v>
      </c>
      <c r="F51" s="1">
        <v>17850</v>
      </c>
      <c r="G51" s="1">
        <v>14492</v>
      </c>
      <c r="H51" s="1">
        <v>13790</v>
      </c>
      <c r="I51" s="1">
        <v>16191</v>
      </c>
      <c r="J51" s="1">
        <v>16450</v>
      </c>
      <c r="K51" s="1">
        <v>13339</v>
      </c>
      <c r="L51" s="1">
        <v>13922</v>
      </c>
      <c r="M51" s="1">
        <v>13982</v>
      </c>
      <c r="N51" s="1">
        <v>17303</v>
      </c>
      <c r="O51">
        <f t="shared" si="0"/>
        <v>190855</v>
      </c>
      <c r="P51" t="s">
        <v>65</v>
      </c>
      <c r="Q51" t="s">
        <v>47</v>
      </c>
      <c r="R51">
        <v>24</v>
      </c>
      <c r="S51">
        <v>102</v>
      </c>
      <c r="T51">
        <f t="shared" si="1"/>
        <v>190855</v>
      </c>
    </row>
    <row r="52" spans="1:20" x14ac:dyDescent="0.3">
      <c r="A52" t="s">
        <v>59</v>
      </c>
      <c r="B52" t="s">
        <v>77</v>
      </c>
      <c r="C52" s="1">
        <v>4363</v>
      </c>
      <c r="D52" s="1">
        <v>4093</v>
      </c>
      <c r="E52" s="1">
        <v>4505</v>
      </c>
      <c r="F52" s="1">
        <v>3509</v>
      </c>
      <c r="G52" s="1">
        <v>3241</v>
      </c>
      <c r="H52" s="1">
        <v>3323</v>
      </c>
      <c r="I52" s="1">
        <v>2923</v>
      </c>
      <c r="J52" s="1">
        <v>2740</v>
      </c>
      <c r="K52" s="1">
        <v>3734</v>
      </c>
      <c r="L52" s="1">
        <v>3285</v>
      </c>
      <c r="M52" s="1">
        <v>2483</v>
      </c>
      <c r="N52" s="1">
        <v>2487</v>
      </c>
      <c r="O52">
        <f t="shared" si="0"/>
        <v>40686</v>
      </c>
      <c r="P52" t="s">
        <v>50</v>
      </c>
      <c r="Q52" t="s">
        <v>29</v>
      </c>
      <c r="R52">
        <v>0</v>
      </c>
      <c r="S52">
        <v>12</v>
      </c>
      <c r="T52">
        <f t="shared" si="1"/>
        <v>40686</v>
      </c>
    </row>
    <row r="53" spans="1:20" x14ac:dyDescent="0.3">
      <c r="A53" t="s">
        <v>78</v>
      </c>
      <c r="B53" t="s">
        <v>79</v>
      </c>
      <c r="C53">
        <v>966</v>
      </c>
      <c r="D53" s="1">
        <v>1036</v>
      </c>
      <c r="E53" s="1">
        <v>1274</v>
      </c>
      <c r="F53" s="1">
        <v>1019</v>
      </c>
      <c r="G53">
        <v>991</v>
      </c>
      <c r="H53">
        <v>938</v>
      </c>
      <c r="I53">
        <v>929</v>
      </c>
      <c r="J53">
        <v>937</v>
      </c>
      <c r="K53">
        <v>760</v>
      </c>
      <c r="L53">
        <v>767</v>
      </c>
      <c r="M53">
        <v>548</v>
      </c>
      <c r="N53">
        <v>700</v>
      </c>
      <c r="O53">
        <f t="shared" si="0"/>
        <v>10865</v>
      </c>
      <c r="P53" t="s">
        <v>9</v>
      </c>
      <c r="Q53" t="s">
        <v>46</v>
      </c>
      <c r="R53">
        <v>28</v>
      </c>
      <c r="S53">
        <v>-15</v>
      </c>
      <c r="T53">
        <f t="shared" si="1"/>
        <v>10865</v>
      </c>
    </row>
    <row r="54" spans="1:20" x14ac:dyDescent="0.3">
      <c r="A54" t="s">
        <v>78</v>
      </c>
      <c r="B54" t="s">
        <v>80</v>
      </c>
      <c r="C54">
        <v>505</v>
      </c>
      <c r="D54">
        <v>920</v>
      </c>
      <c r="E54">
        <v>875</v>
      </c>
      <c r="F54">
        <v>993</v>
      </c>
      <c r="G54" s="1">
        <v>1200</v>
      </c>
      <c r="H54" s="1">
        <v>1300</v>
      </c>
      <c r="I54" s="1">
        <v>1200</v>
      </c>
      <c r="J54" s="1">
        <v>1100</v>
      </c>
      <c r="K54" s="1">
        <v>1268</v>
      </c>
      <c r="L54" s="1">
        <v>1151</v>
      </c>
      <c r="M54">
        <v>600</v>
      </c>
      <c r="N54">
        <v>700</v>
      </c>
      <c r="O54">
        <f t="shared" si="0"/>
        <v>11812</v>
      </c>
      <c r="P54" t="s">
        <v>65</v>
      </c>
      <c r="Q54" t="s">
        <v>47</v>
      </c>
      <c r="R54">
        <v>17</v>
      </c>
      <c r="S54">
        <v>-12</v>
      </c>
      <c r="T54">
        <f t="shared" si="1"/>
        <v>11812</v>
      </c>
    </row>
    <row r="55" spans="1:20" x14ac:dyDescent="0.3">
      <c r="A55" t="s">
        <v>78</v>
      </c>
      <c r="B55" t="s">
        <v>81</v>
      </c>
      <c r="C55">
        <v>139</v>
      </c>
      <c r="D55">
        <v>168</v>
      </c>
      <c r="E55">
        <v>131</v>
      </c>
      <c r="F55">
        <v>124</v>
      </c>
      <c r="G55">
        <v>135</v>
      </c>
      <c r="H55">
        <v>132</v>
      </c>
      <c r="I55">
        <v>191</v>
      </c>
      <c r="J55">
        <v>236</v>
      </c>
      <c r="K55">
        <v>200</v>
      </c>
      <c r="L55">
        <v>176</v>
      </c>
      <c r="M55">
        <v>138</v>
      </c>
      <c r="N55">
        <v>100</v>
      </c>
      <c r="O55">
        <f t="shared" si="0"/>
        <v>1870</v>
      </c>
      <c r="P55" t="s">
        <v>44</v>
      </c>
      <c r="Q55" t="s">
        <v>46</v>
      </c>
      <c r="R55">
        <v>-28</v>
      </c>
      <c r="S55">
        <v>-29</v>
      </c>
      <c r="T55">
        <f t="shared" si="1"/>
        <v>1870</v>
      </c>
    </row>
    <row r="56" spans="1:20" x14ac:dyDescent="0.3">
      <c r="A56" t="s">
        <v>78</v>
      </c>
      <c r="B56" t="s">
        <v>82</v>
      </c>
      <c r="C56" s="1">
        <v>1817</v>
      </c>
      <c r="D56" s="1">
        <v>1826</v>
      </c>
      <c r="E56" s="1">
        <v>1887</v>
      </c>
      <c r="F56" s="1">
        <v>1813</v>
      </c>
      <c r="G56" s="1">
        <v>1906</v>
      </c>
      <c r="H56" s="1">
        <v>1713</v>
      </c>
      <c r="I56" s="1">
        <v>1780</v>
      </c>
      <c r="J56" s="1">
        <v>1814</v>
      </c>
      <c r="K56" s="1">
        <v>1380</v>
      </c>
      <c r="L56" s="1">
        <v>1224</v>
      </c>
      <c r="M56" s="1">
        <v>1106</v>
      </c>
      <c r="N56" s="1">
        <v>1373</v>
      </c>
      <c r="O56">
        <f t="shared" si="0"/>
        <v>19639</v>
      </c>
      <c r="P56" t="s">
        <v>45</v>
      </c>
      <c r="Q56" t="s">
        <v>46</v>
      </c>
      <c r="R56">
        <v>24</v>
      </c>
      <c r="S56">
        <v>-37</v>
      </c>
      <c r="T56">
        <f t="shared" si="1"/>
        <v>19639</v>
      </c>
    </row>
    <row r="57" spans="1:20" x14ac:dyDescent="0.3">
      <c r="A57" t="s">
        <v>78</v>
      </c>
      <c r="B57" t="s">
        <v>83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>
        <v>3116</v>
      </c>
      <c r="M57" s="1">
        <v>3144</v>
      </c>
      <c r="N57" s="1">
        <v>3785</v>
      </c>
      <c r="O57">
        <f t="shared" si="0"/>
        <v>10045</v>
      </c>
      <c r="P57" t="s">
        <v>9</v>
      </c>
      <c r="Q57" t="s">
        <v>29</v>
      </c>
      <c r="R57">
        <v>20</v>
      </c>
      <c r="S57">
        <v>0</v>
      </c>
      <c r="T57">
        <f t="shared" si="1"/>
        <v>10045</v>
      </c>
    </row>
    <row r="58" spans="1:20" x14ac:dyDescent="0.3">
      <c r="A58" t="s">
        <v>78</v>
      </c>
      <c r="B58" t="s">
        <v>84</v>
      </c>
      <c r="C58">
        <v>398</v>
      </c>
      <c r="D58">
        <v>582</v>
      </c>
      <c r="E58">
        <v>481</v>
      </c>
      <c r="F58">
        <v>536</v>
      </c>
      <c r="G58">
        <v>537</v>
      </c>
      <c r="H58">
        <v>561</v>
      </c>
      <c r="I58">
        <v>472</v>
      </c>
      <c r="J58">
        <v>484</v>
      </c>
      <c r="K58">
        <v>980</v>
      </c>
      <c r="L58">
        <v>611</v>
      </c>
      <c r="M58">
        <v>483</v>
      </c>
      <c r="N58">
        <v>858</v>
      </c>
      <c r="O58">
        <f t="shared" si="0"/>
        <v>6983</v>
      </c>
      <c r="P58" t="s">
        <v>85</v>
      </c>
      <c r="Q58" t="s">
        <v>46</v>
      </c>
      <c r="R58">
        <v>78</v>
      </c>
      <c r="S58">
        <v>85</v>
      </c>
      <c r="T58">
        <f t="shared" si="1"/>
        <v>6983</v>
      </c>
    </row>
    <row r="59" spans="1:20" x14ac:dyDescent="0.3">
      <c r="A59" t="s">
        <v>86</v>
      </c>
      <c r="B59" t="s">
        <v>87</v>
      </c>
      <c r="C59" s="1">
        <v>2863</v>
      </c>
      <c r="D59" s="1">
        <v>2755</v>
      </c>
      <c r="E59" s="1">
        <v>2701</v>
      </c>
      <c r="F59" s="1">
        <v>2404</v>
      </c>
      <c r="G59" s="1">
        <v>2211</v>
      </c>
      <c r="H59" s="1">
        <v>2107</v>
      </c>
      <c r="I59" s="1">
        <v>2011</v>
      </c>
      <c r="J59" s="1">
        <v>2257</v>
      </c>
      <c r="K59" s="1">
        <v>2100</v>
      </c>
      <c r="L59" s="1">
        <v>3119</v>
      </c>
      <c r="M59" s="1">
        <v>2342</v>
      </c>
      <c r="N59" s="1">
        <v>2117</v>
      </c>
      <c r="O59">
        <f t="shared" si="0"/>
        <v>28987</v>
      </c>
      <c r="P59" t="s">
        <v>43</v>
      </c>
      <c r="Q59" t="s">
        <v>46</v>
      </c>
      <c r="R59">
        <v>-10</v>
      </c>
      <c r="S59">
        <v>-2</v>
      </c>
      <c r="T59">
        <f t="shared" si="1"/>
        <v>28987</v>
      </c>
    </row>
    <row r="60" spans="1:20" x14ac:dyDescent="0.3">
      <c r="A60" t="s">
        <v>86</v>
      </c>
      <c r="B60" t="s">
        <v>88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</v>
      </c>
      <c r="K60">
        <v>13</v>
      </c>
      <c r="L60">
        <v>2</v>
      </c>
      <c r="M60" s="1">
        <v>0</v>
      </c>
      <c r="N60">
        <v>1</v>
      </c>
      <c r="O60">
        <f t="shared" si="0"/>
        <v>22</v>
      </c>
      <c r="P60" t="s">
        <v>44</v>
      </c>
      <c r="Q60" t="s">
        <v>46</v>
      </c>
      <c r="R60">
        <v>0</v>
      </c>
      <c r="S60">
        <v>0</v>
      </c>
      <c r="T60">
        <f t="shared" si="1"/>
        <v>22</v>
      </c>
    </row>
    <row r="61" spans="1:20" x14ac:dyDescent="0.3">
      <c r="A61" t="s">
        <v>89</v>
      </c>
      <c r="B61" t="s">
        <v>90</v>
      </c>
      <c r="C61">
        <v>750</v>
      </c>
      <c r="D61" s="1">
        <v>1047</v>
      </c>
      <c r="E61" s="1">
        <v>1050</v>
      </c>
      <c r="F61" s="1">
        <v>1059</v>
      </c>
      <c r="G61">
        <v>850</v>
      </c>
      <c r="H61" s="1">
        <v>1150</v>
      </c>
      <c r="I61">
        <v>810</v>
      </c>
      <c r="J61">
        <v>870</v>
      </c>
      <c r="K61">
        <v>988</v>
      </c>
      <c r="L61" s="1">
        <v>1053</v>
      </c>
      <c r="M61">
        <v>779</v>
      </c>
      <c r="N61">
        <v>594</v>
      </c>
      <c r="O61">
        <f t="shared" si="0"/>
        <v>11000</v>
      </c>
      <c r="P61" t="s">
        <v>43</v>
      </c>
      <c r="Q61" t="s">
        <v>46</v>
      </c>
      <c r="R61">
        <v>-24</v>
      </c>
      <c r="S61">
        <v>-31</v>
      </c>
      <c r="T61">
        <f t="shared" si="1"/>
        <v>11000</v>
      </c>
    </row>
    <row r="62" spans="1:20" x14ac:dyDescent="0.3">
      <c r="A62" t="s">
        <v>89</v>
      </c>
      <c r="B62" t="s">
        <v>91</v>
      </c>
      <c r="C62">
        <v>856</v>
      </c>
      <c r="D62">
        <v>828</v>
      </c>
      <c r="E62">
        <v>928</v>
      </c>
      <c r="F62">
        <v>977</v>
      </c>
      <c r="G62">
        <v>743</v>
      </c>
      <c r="H62">
        <v>603</v>
      </c>
      <c r="I62">
        <v>565</v>
      </c>
      <c r="J62">
        <v>634</v>
      </c>
      <c r="K62">
        <v>691</v>
      </c>
      <c r="L62">
        <v>706</v>
      </c>
      <c r="M62">
        <v>546</v>
      </c>
      <c r="N62">
        <v>628</v>
      </c>
      <c r="O62">
        <f t="shared" si="0"/>
        <v>8705</v>
      </c>
      <c r="P62" t="s">
        <v>61</v>
      </c>
      <c r="Q62" t="s">
        <v>47</v>
      </c>
      <c r="R62">
        <v>15</v>
      </c>
      <c r="S62">
        <v>37</v>
      </c>
      <c r="T62">
        <f t="shared" si="1"/>
        <v>8705</v>
      </c>
    </row>
    <row r="63" spans="1:20" x14ac:dyDescent="0.3">
      <c r="A63" t="s">
        <v>89</v>
      </c>
      <c r="B63" t="s">
        <v>92</v>
      </c>
      <c r="C63" s="1">
        <v>2220</v>
      </c>
      <c r="D63" s="1">
        <v>2205</v>
      </c>
      <c r="E63" s="1">
        <v>2247</v>
      </c>
      <c r="F63" s="1">
        <v>1671</v>
      </c>
      <c r="G63" s="1">
        <v>2116</v>
      </c>
      <c r="H63" s="1">
        <v>1800</v>
      </c>
      <c r="I63" s="1">
        <v>1457</v>
      </c>
      <c r="J63" s="1">
        <v>1514</v>
      </c>
      <c r="K63" s="1">
        <v>1538</v>
      </c>
      <c r="L63" s="1">
        <v>2111</v>
      </c>
      <c r="M63" s="1">
        <v>1486</v>
      </c>
      <c r="N63" s="1">
        <v>1659</v>
      </c>
      <c r="O63">
        <f t="shared" si="0"/>
        <v>22024</v>
      </c>
      <c r="P63" t="s">
        <v>50</v>
      </c>
      <c r="Q63" t="s">
        <v>29</v>
      </c>
      <c r="R63">
        <v>12</v>
      </c>
      <c r="S63">
        <v>149</v>
      </c>
      <c r="T63">
        <f t="shared" si="1"/>
        <v>22024</v>
      </c>
    </row>
    <row r="64" spans="1:20" x14ac:dyDescent="0.3">
      <c r="A64" t="s">
        <v>93</v>
      </c>
      <c r="B64" t="s">
        <v>94</v>
      </c>
      <c r="C64">
        <v>53</v>
      </c>
      <c r="D64">
        <v>89</v>
      </c>
      <c r="E64">
        <v>136</v>
      </c>
      <c r="F64">
        <v>154</v>
      </c>
      <c r="G64">
        <v>185</v>
      </c>
      <c r="H64">
        <v>137</v>
      </c>
      <c r="I64">
        <v>240</v>
      </c>
      <c r="J64">
        <v>145</v>
      </c>
      <c r="K64">
        <v>140</v>
      </c>
      <c r="L64">
        <v>209</v>
      </c>
      <c r="M64">
        <v>225</v>
      </c>
      <c r="N64">
        <v>194</v>
      </c>
      <c r="O64">
        <f t="shared" si="0"/>
        <v>1907</v>
      </c>
      <c r="P64" t="s">
        <v>44</v>
      </c>
      <c r="Q64" t="s">
        <v>46</v>
      </c>
      <c r="R64">
        <v>-14</v>
      </c>
      <c r="S64">
        <v>-14</v>
      </c>
      <c r="T64">
        <f t="shared" si="1"/>
        <v>1907</v>
      </c>
    </row>
    <row r="65" spans="1:20" x14ac:dyDescent="0.3">
      <c r="A65" t="s">
        <v>93</v>
      </c>
      <c r="B65" t="s">
        <v>95</v>
      </c>
      <c r="C65" s="1">
        <v>1082</v>
      </c>
      <c r="D65" s="1">
        <v>1137</v>
      </c>
      <c r="E65" s="1">
        <v>1293</v>
      </c>
      <c r="F65" s="1">
        <v>1159</v>
      </c>
      <c r="G65" s="1">
        <v>1157</v>
      </c>
      <c r="H65" s="1">
        <v>1198</v>
      </c>
      <c r="I65" s="1">
        <v>1070</v>
      </c>
      <c r="J65" s="1">
        <v>1502</v>
      </c>
      <c r="K65" s="1">
        <v>1767</v>
      </c>
      <c r="L65" s="1">
        <v>2213</v>
      </c>
      <c r="M65" s="1">
        <v>1524</v>
      </c>
      <c r="N65" s="1">
        <v>2465</v>
      </c>
      <c r="O65">
        <f t="shared" si="0"/>
        <v>17567</v>
      </c>
      <c r="P65" t="s">
        <v>9</v>
      </c>
      <c r="Q65" t="s">
        <v>46</v>
      </c>
      <c r="R65">
        <v>62</v>
      </c>
      <c r="S65">
        <v>-1</v>
      </c>
      <c r="T65">
        <f t="shared" si="1"/>
        <v>17567</v>
      </c>
    </row>
    <row r="66" spans="1:20" x14ac:dyDescent="0.3">
      <c r="A66" t="s">
        <v>93</v>
      </c>
      <c r="B66" t="s">
        <v>96</v>
      </c>
      <c r="C66" s="1">
        <v>1242</v>
      </c>
      <c r="D66" s="1">
        <v>1028</v>
      </c>
      <c r="E66" s="1">
        <v>1358</v>
      </c>
      <c r="F66" s="1">
        <v>1253</v>
      </c>
      <c r="G66" s="1">
        <v>1538</v>
      </c>
      <c r="H66" s="1">
        <v>1230</v>
      </c>
      <c r="I66">
        <v>793</v>
      </c>
      <c r="J66" s="1">
        <v>1122</v>
      </c>
      <c r="K66" s="1">
        <v>1391</v>
      </c>
      <c r="L66" s="1">
        <v>1637</v>
      </c>
      <c r="M66" s="1">
        <v>1131</v>
      </c>
      <c r="N66" s="1">
        <v>1894</v>
      </c>
      <c r="O66">
        <f t="shared" si="0"/>
        <v>15617</v>
      </c>
      <c r="P66" t="s">
        <v>9</v>
      </c>
      <c r="Q66" t="s">
        <v>10</v>
      </c>
      <c r="R66">
        <v>67</v>
      </c>
      <c r="S66">
        <v>-3</v>
      </c>
      <c r="T66">
        <f t="shared" si="1"/>
        <v>15617</v>
      </c>
    </row>
    <row r="67" spans="1:20" x14ac:dyDescent="0.3">
      <c r="A67" t="s">
        <v>93</v>
      </c>
      <c r="B67" t="s">
        <v>97</v>
      </c>
      <c r="C67" s="1">
        <v>0</v>
      </c>
      <c r="D67" s="1">
        <v>0</v>
      </c>
      <c r="E67">
        <v>15</v>
      </c>
      <c r="F67">
        <v>13</v>
      </c>
      <c r="G67">
        <v>4</v>
      </c>
      <c r="H67">
        <v>1</v>
      </c>
      <c r="I67" s="1">
        <v>0</v>
      </c>
      <c r="J67">
        <v>3</v>
      </c>
      <c r="K67">
        <v>3</v>
      </c>
      <c r="L67">
        <v>20</v>
      </c>
      <c r="M67">
        <v>6</v>
      </c>
      <c r="N67" s="1">
        <v>1</v>
      </c>
      <c r="O67">
        <f t="shared" ref="O67:O88" si="2">SUM(C67:N67)</f>
        <v>66</v>
      </c>
      <c r="P67" t="s">
        <v>44</v>
      </c>
      <c r="Q67" t="s">
        <v>10</v>
      </c>
      <c r="R67">
        <v>-83</v>
      </c>
      <c r="S67">
        <v>0</v>
      </c>
      <c r="T67">
        <f t="shared" ref="T67:T88" si="3">SUM(C67:N67)</f>
        <v>66</v>
      </c>
    </row>
    <row r="68" spans="1:20" x14ac:dyDescent="0.3">
      <c r="A68" t="s">
        <v>98</v>
      </c>
      <c r="B68" t="s">
        <v>99</v>
      </c>
      <c r="C68" s="1">
        <v>4935</v>
      </c>
      <c r="D68" s="1">
        <v>4568</v>
      </c>
      <c r="E68" s="1">
        <v>5985</v>
      </c>
      <c r="F68" s="1">
        <v>5148</v>
      </c>
      <c r="G68" s="1">
        <v>4983</v>
      </c>
      <c r="H68" s="1">
        <v>3937</v>
      </c>
      <c r="I68" s="1">
        <v>3444</v>
      </c>
      <c r="J68" s="1">
        <v>3031</v>
      </c>
      <c r="K68" s="1">
        <v>2758</v>
      </c>
      <c r="L68" s="1">
        <v>2642</v>
      </c>
      <c r="M68" s="1">
        <v>2083</v>
      </c>
      <c r="N68" s="1">
        <v>1866</v>
      </c>
      <c r="O68">
        <f t="shared" si="2"/>
        <v>45380</v>
      </c>
      <c r="P68" t="s">
        <v>17</v>
      </c>
      <c r="Q68" t="s">
        <v>47</v>
      </c>
      <c r="R68">
        <v>-10</v>
      </c>
      <c r="S68">
        <v>-54</v>
      </c>
      <c r="T68">
        <f t="shared" si="3"/>
        <v>45380</v>
      </c>
    </row>
    <row r="69" spans="1:20" x14ac:dyDescent="0.3">
      <c r="A69" t="s">
        <v>98</v>
      </c>
      <c r="B69" t="s">
        <v>100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3455</v>
      </c>
      <c r="K69" s="1">
        <v>4763</v>
      </c>
      <c r="L69" s="1">
        <v>5351</v>
      </c>
      <c r="M69" s="1">
        <v>5101</v>
      </c>
      <c r="N69" s="1">
        <v>4994</v>
      </c>
      <c r="O69">
        <f t="shared" si="2"/>
        <v>23664</v>
      </c>
      <c r="P69" t="s">
        <v>9</v>
      </c>
      <c r="Q69" t="s">
        <v>46</v>
      </c>
      <c r="R69">
        <v>-2</v>
      </c>
      <c r="S69">
        <v>0</v>
      </c>
      <c r="T69">
        <f t="shared" si="3"/>
        <v>23664</v>
      </c>
    </row>
    <row r="70" spans="1:20" x14ac:dyDescent="0.3">
      <c r="A70" t="s">
        <v>98</v>
      </c>
      <c r="B70" t="s">
        <v>101</v>
      </c>
      <c r="C70" s="1">
        <v>2626</v>
      </c>
      <c r="D70" s="1">
        <v>2562</v>
      </c>
      <c r="E70" s="1">
        <v>2054</v>
      </c>
      <c r="F70" s="1">
        <v>1746</v>
      </c>
      <c r="G70" s="1">
        <v>1625</v>
      </c>
      <c r="H70" s="1">
        <v>1347</v>
      </c>
      <c r="I70" s="1">
        <v>1991</v>
      </c>
      <c r="J70" s="1">
        <v>1892</v>
      </c>
      <c r="K70" s="1">
        <v>1600</v>
      </c>
      <c r="L70" s="1">
        <v>1947</v>
      </c>
      <c r="M70" s="1">
        <v>1374</v>
      </c>
      <c r="N70" s="1">
        <v>1307</v>
      </c>
      <c r="O70">
        <f t="shared" si="2"/>
        <v>22071</v>
      </c>
      <c r="P70" t="s">
        <v>45</v>
      </c>
      <c r="Q70" t="s">
        <v>46</v>
      </c>
      <c r="R70">
        <v>-5</v>
      </c>
      <c r="S70">
        <v>-7</v>
      </c>
      <c r="T70">
        <f t="shared" si="3"/>
        <v>22071</v>
      </c>
    </row>
    <row r="71" spans="1:20" x14ac:dyDescent="0.3">
      <c r="A71" t="s">
        <v>98</v>
      </c>
      <c r="B71" t="s">
        <v>102</v>
      </c>
      <c r="C71" s="1">
        <v>17182</v>
      </c>
      <c r="D71" s="1">
        <v>14395</v>
      </c>
      <c r="E71" s="1">
        <v>14058</v>
      </c>
      <c r="F71" s="1">
        <v>11168</v>
      </c>
      <c r="G71" s="1">
        <v>11457</v>
      </c>
      <c r="H71" s="1">
        <v>12066</v>
      </c>
      <c r="I71" s="1">
        <v>13902</v>
      </c>
      <c r="J71" s="1">
        <v>12289</v>
      </c>
      <c r="K71" s="1">
        <v>11470</v>
      </c>
      <c r="L71" s="1">
        <v>14759</v>
      </c>
      <c r="M71" s="1">
        <v>15329</v>
      </c>
      <c r="N71" s="1">
        <v>13536</v>
      </c>
      <c r="O71">
        <f t="shared" si="2"/>
        <v>161611</v>
      </c>
      <c r="P71" t="s">
        <v>43</v>
      </c>
      <c r="Q71" t="s">
        <v>46</v>
      </c>
      <c r="R71">
        <v>-12</v>
      </c>
      <c r="S71">
        <v>-11</v>
      </c>
      <c r="T71">
        <f t="shared" si="3"/>
        <v>161611</v>
      </c>
    </row>
    <row r="72" spans="1:20" x14ac:dyDescent="0.3">
      <c r="A72" t="s">
        <v>98</v>
      </c>
      <c r="B72" t="s">
        <v>103</v>
      </c>
      <c r="C72" s="1">
        <v>17978</v>
      </c>
      <c r="D72" s="1">
        <v>18438</v>
      </c>
      <c r="E72" s="1">
        <v>17547</v>
      </c>
      <c r="F72" s="1">
        <v>19158</v>
      </c>
      <c r="G72" s="1">
        <v>18949</v>
      </c>
      <c r="H72" s="1">
        <v>18238</v>
      </c>
      <c r="I72" s="1">
        <v>16121</v>
      </c>
      <c r="J72" s="1">
        <v>15643</v>
      </c>
      <c r="K72" s="1">
        <v>13711</v>
      </c>
      <c r="L72" s="1">
        <v>15740</v>
      </c>
      <c r="M72" s="1">
        <v>15435</v>
      </c>
      <c r="N72" s="1">
        <v>15073</v>
      </c>
      <c r="O72">
        <f t="shared" si="2"/>
        <v>202031</v>
      </c>
      <c r="P72" t="s">
        <v>43</v>
      </c>
      <c r="Q72" t="s">
        <v>46</v>
      </c>
      <c r="R72">
        <v>-2</v>
      </c>
      <c r="S72">
        <v>9</v>
      </c>
      <c r="T72">
        <f t="shared" si="3"/>
        <v>202031</v>
      </c>
    </row>
    <row r="73" spans="1:20" x14ac:dyDescent="0.3">
      <c r="A73" t="s">
        <v>98</v>
      </c>
      <c r="B73" t="s">
        <v>104</v>
      </c>
      <c r="C73" s="1">
        <v>2893</v>
      </c>
      <c r="D73" s="1">
        <v>2648</v>
      </c>
      <c r="E73" s="1">
        <v>2063</v>
      </c>
      <c r="F73" s="1">
        <v>1716</v>
      </c>
      <c r="G73" s="1">
        <v>1661</v>
      </c>
      <c r="H73" s="1">
        <v>1394</v>
      </c>
      <c r="I73" s="1">
        <v>2109</v>
      </c>
      <c r="J73" s="1">
        <v>1951</v>
      </c>
      <c r="K73" s="1">
        <v>1644</v>
      </c>
      <c r="L73" s="1">
        <v>2086</v>
      </c>
      <c r="M73" s="1">
        <v>1563</v>
      </c>
      <c r="N73" s="1">
        <v>1385</v>
      </c>
      <c r="O73">
        <f t="shared" si="2"/>
        <v>23113</v>
      </c>
      <c r="P73" t="s">
        <v>45</v>
      </c>
      <c r="Q73" t="s">
        <v>46</v>
      </c>
      <c r="R73">
        <v>-11</v>
      </c>
      <c r="S73">
        <v>-34</v>
      </c>
      <c r="T73">
        <f t="shared" si="3"/>
        <v>23113</v>
      </c>
    </row>
    <row r="74" spans="1:20" x14ac:dyDescent="0.3">
      <c r="A74" t="s">
        <v>98</v>
      </c>
      <c r="B74" t="s">
        <v>105</v>
      </c>
      <c r="C74" s="1">
        <v>6482</v>
      </c>
      <c r="D74" s="1">
        <v>6947</v>
      </c>
      <c r="E74" s="1">
        <v>6381</v>
      </c>
      <c r="F74" s="1">
        <v>6796</v>
      </c>
      <c r="G74" s="1">
        <v>5927</v>
      </c>
      <c r="H74" s="1">
        <v>5174</v>
      </c>
      <c r="I74" s="1">
        <v>5665</v>
      </c>
      <c r="J74" s="1">
        <v>4733</v>
      </c>
      <c r="K74" s="1">
        <v>4225</v>
      </c>
      <c r="L74" s="1">
        <v>4682</v>
      </c>
      <c r="M74" s="1">
        <v>5319</v>
      </c>
      <c r="N74" s="1">
        <v>5006</v>
      </c>
      <c r="O74">
        <f t="shared" si="2"/>
        <v>67337</v>
      </c>
      <c r="P74" t="s">
        <v>65</v>
      </c>
      <c r="Q74" t="s">
        <v>47</v>
      </c>
      <c r="R74">
        <v>-6</v>
      </c>
      <c r="S74">
        <v>3</v>
      </c>
      <c r="T74">
        <f t="shared" si="3"/>
        <v>67337</v>
      </c>
    </row>
    <row r="75" spans="1:20" x14ac:dyDescent="0.3">
      <c r="A75" t="s">
        <v>98</v>
      </c>
      <c r="B75" t="s">
        <v>106</v>
      </c>
      <c r="C75" s="1">
        <v>1539</v>
      </c>
      <c r="D75" s="1">
        <v>1712</v>
      </c>
      <c r="E75" s="1">
        <v>2017</v>
      </c>
      <c r="F75" s="1">
        <v>2153</v>
      </c>
      <c r="G75" s="1">
        <v>2098</v>
      </c>
      <c r="I75" s="1">
        <v>1495</v>
      </c>
      <c r="J75" s="1">
        <v>1148</v>
      </c>
      <c r="K75" s="1">
        <v>894</v>
      </c>
      <c r="L75" s="1">
        <v>926</v>
      </c>
      <c r="M75" s="1">
        <v>859</v>
      </c>
      <c r="N75" s="1">
        <v>1054</v>
      </c>
      <c r="O75">
        <f t="shared" si="2"/>
        <v>15895</v>
      </c>
      <c r="P75" t="s">
        <v>43</v>
      </c>
      <c r="Q75" t="s">
        <v>10</v>
      </c>
      <c r="R75">
        <v>23</v>
      </c>
      <c r="S75">
        <v>-46</v>
      </c>
      <c r="T75">
        <f t="shared" si="3"/>
        <v>15895</v>
      </c>
    </row>
    <row r="76" spans="1:20" x14ac:dyDescent="0.3">
      <c r="A76" t="s">
        <v>107</v>
      </c>
      <c r="B76" t="s">
        <v>108</v>
      </c>
      <c r="C76">
        <v>312</v>
      </c>
      <c r="D76">
        <v>210</v>
      </c>
      <c r="E76">
        <v>232</v>
      </c>
      <c r="F76">
        <v>179</v>
      </c>
      <c r="G76">
        <v>122</v>
      </c>
      <c r="H76">
        <v>143</v>
      </c>
      <c r="I76">
        <v>126</v>
      </c>
      <c r="J76">
        <v>154</v>
      </c>
      <c r="K76">
        <v>127</v>
      </c>
      <c r="L76">
        <v>176</v>
      </c>
      <c r="M76">
        <v>130</v>
      </c>
      <c r="N76">
        <v>88</v>
      </c>
      <c r="O76">
        <f t="shared" si="2"/>
        <v>1999</v>
      </c>
      <c r="P76" t="s">
        <v>44</v>
      </c>
      <c r="Q76" t="s">
        <v>10</v>
      </c>
      <c r="R76">
        <v>-32</v>
      </c>
      <c r="S76">
        <v>-51</v>
      </c>
      <c r="T76">
        <f t="shared" si="3"/>
        <v>1999</v>
      </c>
    </row>
    <row r="77" spans="1:20" x14ac:dyDescent="0.3">
      <c r="A77" t="s">
        <v>107</v>
      </c>
      <c r="B77" t="s">
        <v>109</v>
      </c>
      <c r="C77" s="1">
        <v>3213</v>
      </c>
      <c r="D77" s="1">
        <v>3395</v>
      </c>
      <c r="E77" s="1">
        <v>3621</v>
      </c>
      <c r="F77" s="1">
        <v>2325</v>
      </c>
      <c r="G77" s="1">
        <v>2422</v>
      </c>
      <c r="H77" s="1">
        <v>2675</v>
      </c>
      <c r="I77" s="1">
        <v>2380</v>
      </c>
      <c r="J77" s="1">
        <v>2338</v>
      </c>
      <c r="K77" s="1">
        <v>2473</v>
      </c>
      <c r="L77" s="1">
        <v>3684</v>
      </c>
      <c r="M77" s="1">
        <v>2865</v>
      </c>
      <c r="N77" s="1">
        <v>2206</v>
      </c>
      <c r="O77">
        <f t="shared" si="2"/>
        <v>33597</v>
      </c>
      <c r="P77" t="s">
        <v>44</v>
      </c>
      <c r="Q77" t="s">
        <v>46</v>
      </c>
      <c r="R77">
        <v>-23</v>
      </c>
      <c r="S77">
        <v>-29</v>
      </c>
      <c r="T77">
        <f t="shared" si="3"/>
        <v>33597</v>
      </c>
    </row>
    <row r="78" spans="1:20" x14ac:dyDescent="0.3">
      <c r="A78" t="s">
        <v>107</v>
      </c>
      <c r="B78" t="s">
        <v>110</v>
      </c>
      <c r="C78" s="1">
        <v>3740</v>
      </c>
      <c r="D78" s="1">
        <v>4581</v>
      </c>
      <c r="E78" s="1">
        <v>4319</v>
      </c>
      <c r="F78" s="1">
        <v>4380</v>
      </c>
      <c r="G78" s="1">
        <v>4517</v>
      </c>
      <c r="H78" s="1">
        <v>4118</v>
      </c>
      <c r="I78" s="1">
        <v>4836</v>
      </c>
      <c r="J78" s="1">
        <v>4624</v>
      </c>
      <c r="K78" s="1">
        <v>3246</v>
      </c>
      <c r="L78" s="1">
        <v>4273</v>
      </c>
      <c r="M78" s="1">
        <v>3806</v>
      </c>
      <c r="N78" s="1">
        <v>3487</v>
      </c>
      <c r="O78">
        <f t="shared" si="2"/>
        <v>49927</v>
      </c>
      <c r="P78" t="s">
        <v>17</v>
      </c>
      <c r="Q78" t="s">
        <v>47</v>
      </c>
      <c r="R78">
        <v>-8</v>
      </c>
      <c r="S78">
        <v>-15</v>
      </c>
      <c r="T78">
        <f t="shared" si="3"/>
        <v>49927</v>
      </c>
    </row>
    <row r="79" spans="1:20" x14ac:dyDescent="0.3">
      <c r="A79" t="s">
        <v>107</v>
      </c>
      <c r="B79" t="s">
        <v>111</v>
      </c>
      <c r="C79">
        <v>289</v>
      </c>
      <c r="D79">
        <v>245</v>
      </c>
      <c r="E79">
        <v>356</v>
      </c>
      <c r="F79">
        <v>264</v>
      </c>
      <c r="G79">
        <v>283</v>
      </c>
      <c r="H79">
        <v>236</v>
      </c>
      <c r="I79">
        <v>178</v>
      </c>
      <c r="J79">
        <v>204</v>
      </c>
      <c r="K79">
        <v>186</v>
      </c>
      <c r="L79">
        <v>342</v>
      </c>
      <c r="M79">
        <v>149</v>
      </c>
      <c r="N79">
        <v>170</v>
      </c>
      <c r="O79">
        <f t="shared" si="2"/>
        <v>2902</v>
      </c>
      <c r="P79" t="s">
        <v>44</v>
      </c>
      <c r="Q79" t="s">
        <v>112</v>
      </c>
      <c r="R79">
        <v>14</v>
      </c>
      <c r="S79">
        <v>-47</v>
      </c>
      <c r="T79">
        <f t="shared" si="3"/>
        <v>2902</v>
      </c>
    </row>
    <row r="80" spans="1:20" x14ac:dyDescent="0.3">
      <c r="A80" t="s">
        <v>107</v>
      </c>
      <c r="B80" t="s">
        <v>113</v>
      </c>
      <c r="C80" s="1">
        <v>5543</v>
      </c>
      <c r="D80" s="1">
        <v>5601</v>
      </c>
      <c r="E80" s="1">
        <v>5965</v>
      </c>
      <c r="F80" s="1">
        <v>3252</v>
      </c>
      <c r="G80" s="1">
        <v>3906</v>
      </c>
      <c r="H80" s="1">
        <v>4275</v>
      </c>
      <c r="I80" s="1">
        <v>7419</v>
      </c>
      <c r="J80" s="1">
        <v>6534</v>
      </c>
      <c r="K80" s="1">
        <v>5385</v>
      </c>
      <c r="L80" s="1">
        <v>5449</v>
      </c>
      <c r="M80" s="1">
        <v>4857</v>
      </c>
      <c r="N80" s="1">
        <v>4770</v>
      </c>
      <c r="O80">
        <f t="shared" si="2"/>
        <v>62956</v>
      </c>
      <c r="P80" t="s">
        <v>9</v>
      </c>
      <c r="Q80" t="s">
        <v>46</v>
      </c>
      <c r="R80">
        <v>-2</v>
      </c>
      <c r="S80">
        <v>-4</v>
      </c>
      <c r="T80">
        <f t="shared" si="3"/>
        <v>62956</v>
      </c>
    </row>
    <row r="81" spans="1:20" x14ac:dyDescent="0.3">
      <c r="A81" t="s">
        <v>107</v>
      </c>
      <c r="B81" t="s">
        <v>114</v>
      </c>
      <c r="C81" s="1">
        <v>9400</v>
      </c>
      <c r="D81" s="1">
        <v>8481</v>
      </c>
      <c r="E81" s="1">
        <v>9900</v>
      </c>
      <c r="F81" s="1">
        <v>7103</v>
      </c>
      <c r="G81" s="1">
        <v>8548</v>
      </c>
      <c r="H81" s="1">
        <v>9412</v>
      </c>
      <c r="I81" s="1">
        <v>9912</v>
      </c>
      <c r="J81" s="1">
        <v>9687</v>
      </c>
      <c r="K81" s="1">
        <v>8052</v>
      </c>
      <c r="L81" s="1">
        <v>8838</v>
      </c>
      <c r="M81" s="1">
        <v>7867</v>
      </c>
      <c r="N81" s="1">
        <v>9700</v>
      </c>
      <c r="O81">
        <f t="shared" si="2"/>
        <v>106900</v>
      </c>
      <c r="P81" t="s">
        <v>45</v>
      </c>
      <c r="Q81" t="s">
        <v>29</v>
      </c>
      <c r="R81">
        <v>23</v>
      </c>
      <c r="S81">
        <v>24</v>
      </c>
      <c r="T81">
        <f t="shared" si="3"/>
        <v>106900</v>
      </c>
    </row>
    <row r="82" spans="1:20" x14ac:dyDescent="0.3">
      <c r="A82" t="s">
        <v>107</v>
      </c>
      <c r="B82" t="s">
        <v>115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>
        <f t="shared" si="2"/>
        <v>0</v>
      </c>
      <c r="P82" t="s">
        <v>18</v>
      </c>
      <c r="Q82" t="s">
        <v>46</v>
      </c>
      <c r="R82">
        <v>0</v>
      </c>
      <c r="S82">
        <v>0</v>
      </c>
      <c r="T82">
        <f t="shared" si="3"/>
        <v>0</v>
      </c>
    </row>
    <row r="83" spans="1:20" ht="16.2" customHeight="1" x14ac:dyDescent="0.3">
      <c r="A83" t="s">
        <v>107</v>
      </c>
      <c r="B83" t="s">
        <v>116</v>
      </c>
      <c r="C83">
        <v>639</v>
      </c>
      <c r="D83">
        <v>730</v>
      </c>
      <c r="E83">
        <v>688</v>
      </c>
      <c r="F83" s="1">
        <v>1192</v>
      </c>
      <c r="G83" s="1">
        <v>1919</v>
      </c>
      <c r="H83" s="1">
        <v>1566</v>
      </c>
      <c r="I83" s="1">
        <v>1929</v>
      </c>
      <c r="J83" s="1">
        <v>1721</v>
      </c>
      <c r="K83" s="1">
        <v>1968</v>
      </c>
      <c r="L83" s="1">
        <v>2169</v>
      </c>
      <c r="M83" s="1">
        <v>1803</v>
      </c>
      <c r="N83" s="1">
        <v>1775</v>
      </c>
      <c r="O83">
        <f t="shared" si="2"/>
        <v>18099</v>
      </c>
      <c r="P83" s="2" t="s">
        <v>117</v>
      </c>
      <c r="Q83" t="s">
        <v>29</v>
      </c>
      <c r="R83">
        <v>-2</v>
      </c>
      <c r="S83">
        <v>113</v>
      </c>
      <c r="T83">
        <f t="shared" si="3"/>
        <v>18099</v>
      </c>
    </row>
    <row r="84" spans="1:20" x14ac:dyDescent="0.3">
      <c r="A84" t="s">
        <v>107</v>
      </c>
      <c r="B84" t="s">
        <v>118</v>
      </c>
      <c r="C84" s="1">
        <v>0</v>
      </c>
      <c r="D84" s="1">
        <v>0</v>
      </c>
      <c r="E84" s="1">
        <v>0</v>
      </c>
      <c r="F84" s="1">
        <v>0</v>
      </c>
      <c r="G84" s="1">
        <v>2180</v>
      </c>
      <c r="H84" s="1">
        <v>3185</v>
      </c>
      <c r="I84" s="1">
        <v>2640</v>
      </c>
      <c r="J84" s="1">
        <v>3213</v>
      </c>
      <c r="K84" s="1">
        <v>2278</v>
      </c>
      <c r="L84" s="1">
        <v>3092</v>
      </c>
      <c r="M84" s="1">
        <v>3620</v>
      </c>
      <c r="N84" s="1">
        <v>2628</v>
      </c>
      <c r="O84">
        <f t="shared" si="2"/>
        <v>22836</v>
      </c>
      <c r="P84" t="s">
        <v>43</v>
      </c>
      <c r="Q84" t="s">
        <v>47</v>
      </c>
      <c r="R84">
        <v>-27</v>
      </c>
      <c r="S84">
        <v>0</v>
      </c>
      <c r="T84">
        <f t="shared" si="3"/>
        <v>22836</v>
      </c>
    </row>
    <row r="85" spans="1:20" x14ac:dyDescent="0.3">
      <c r="A85" t="s">
        <v>107</v>
      </c>
      <c r="B85" t="s">
        <v>119</v>
      </c>
      <c r="C85">
        <v>61</v>
      </c>
      <c r="D85">
        <v>57</v>
      </c>
      <c r="E85">
        <v>38</v>
      </c>
      <c r="F85">
        <v>5</v>
      </c>
      <c r="G85">
        <v>62</v>
      </c>
      <c r="H85">
        <v>142</v>
      </c>
      <c r="I85">
        <v>113</v>
      </c>
      <c r="J85">
        <v>114</v>
      </c>
      <c r="K85">
        <v>87</v>
      </c>
      <c r="L85">
        <v>115</v>
      </c>
      <c r="M85">
        <v>86</v>
      </c>
      <c r="N85">
        <v>63</v>
      </c>
      <c r="O85">
        <f t="shared" si="2"/>
        <v>943</v>
      </c>
      <c r="P85" t="s">
        <v>18</v>
      </c>
      <c r="Q85" t="s">
        <v>29</v>
      </c>
      <c r="R85">
        <v>-27</v>
      </c>
      <c r="S85">
        <v>70</v>
      </c>
      <c r="T85">
        <f t="shared" si="3"/>
        <v>943</v>
      </c>
    </row>
    <row r="86" spans="1:20" x14ac:dyDescent="0.3">
      <c r="A86" t="s">
        <v>120</v>
      </c>
      <c r="B86" t="s">
        <v>121</v>
      </c>
      <c r="C86" s="1">
        <v>1275</v>
      </c>
      <c r="D86" s="1">
        <v>1286</v>
      </c>
      <c r="E86" s="1">
        <v>1588</v>
      </c>
      <c r="F86" s="1">
        <v>1758</v>
      </c>
      <c r="G86" s="1">
        <v>1561</v>
      </c>
      <c r="H86" s="1">
        <v>1519</v>
      </c>
      <c r="I86" s="1">
        <v>1564</v>
      </c>
      <c r="J86" s="1">
        <v>1628</v>
      </c>
      <c r="K86" s="1">
        <v>1611</v>
      </c>
      <c r="L86" s="1">
        <v>2028</v>
      </c>
      <c r="M86" s="1">
        <v>1497</v>
      </c>
      <c r="N86" s="1">
        <v>2335</v>
      </c>
      <c r="O86">
        <f t="shared" si="2"/>
        <v>19650</v>
      </c>
      <c r="P86" t="s">
        <v>9</v>
      </c>
      <c r="Q86" t="s">
        <v>46</v>
      </c>
      <c r="R86">
        <v>56</v>
      </c>
      <c r="S86">
        <v>-5</v>
      </c>
      <c r="T86">
        <f t="shared" si="3"/>
        <v>19650</v>
      </c>
    </row>
    <row r="87" spans="1:20" x14ac:dyDescent="0.3">
      <c r="A87" t="s">
        <v>120</v>
      </c>
      <c r="B87" t="s">
        <v>122</v>
      </c>
      <c r="C87">
        <v>113</v>
      </c>
      <c r="D87">
        <v>102</v>
      </c>
      <c r="E87">
        <v>94</v>
      </c>
      <c r="F87">
        <v>108</v>
      </c>
      <c r="G87">
        <v>102</v>
      </c>
      <c r="H87">
        <v>85</v>
      </c>
      <c r="I87">
        <v>77</v>
      </c>
      <c r="J87">
        <v>73</v>
      </c>
      <c r="K87">
        <v>86</v>
      </c>
      <c r="L87">
        <v>79</v>
      </c>
      <c r="M87">
        <v>79</v>
      </c>
      <c r="N87">
        <v>195</v>
      </c>
      <c r="O87">
        <f t="shared" si="2"/>
        <v>1193</v>
      </c>
      <c r="P87" t="s">
        <v>44</v>
      </c>
      <c r="Q87" t="s">
        <v>46</v>
      </c>
      <c r="R87">
        <v>147</v>
      </c>
      <c r="S87">
        <v>-29</v>
      </c>
      <c r="T87">
        <f t="shared" si="3"/>
        <v>1193</v>
      </c>
    </row>
    <row r="88" spans="1:20" x14ac:dyDescent="0.3">
      <c r="A88" t="s">
        <v>120</v>
      </c>
      <c r="B88" t="s">
        <v>123</v>
      </c>
      <c r="C88" s="1">
        <v>1879</v>
      </c>
      <c r="D88" s="1">
        <v>1631</v>
      </c>
      <c r="E88" s="1">
        <v>1847</v>
      </c>
      <c r="F88" s="1">
        <v>1183</v>
      </c>
      <c r="G88" s="1">
        <v>1610</v>
      </c>
      <c r="H88" s="1">
        <v>1656</v>
      </c>
      <c r="I88" s="1">
        <v>1766</v>
      </c>
      <c r="J88" s="1">
        <v>1876</v>
      </c>
      <c r="K88" s="1">
        <v>1697</v>
      </c>
      <c r="L88" s="1">
        <v>2351</v>
      </c>
      <c r="M88" s="1">
        <v>1457</v>
      </c>
      <c r="N88" s="1">
        <v>2257</v>
      </c>
      <c r="O88">
        <f t="shared" si="2"/>
        <v>21210</v>
      </c>
      <c r="P88" t="s">
        <v>9</v>
      </c>
      <c r="Q88" t="s">
        <v>10</v>
      </c>
      <c r="R88">
        <v>55</v>
      </c>
      <c r="S88">
        <v>3</v>
      </c>
      <c r="T88">
        <f t="shared" si="3"/>
        <v>21210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CE5E-B3E0-4E5B-A53A-00E9F1B1BBA0}">
  <dimension ref="A3:B9"/>
  <sheetViews>
    <sheetView workbookViewId="0">
      <selection activeCell="L13" sqref="L13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3" width="12.109375" bestFit="1" customWidth="1"/>
  </cols>
  <sheetData>
    <row r="3" spans="1:2" x14ac:dyDescent="0.3">
      <c r="A3" s="5" t="s">
        <v>137</v>
      </c>
      <c r="B3" s="5" t="s">
        <v>138</v>
      </c>
    </row>
    <row r="4" spans="1:2" x14ac:dyDescent="0.3">
      <c r="A4" s="7" t="s">
        <v>59</v>
      </c>
      <c r="B4" s="8">
        <v>1753314</v>
      </c>
    </row>
    <row r="5" spans="1:2" x14ac:dyDescent="0.3">
      <c r="A5" s="7" t="s">
        <v>12</v>
      </c>
      <c r="B5" s="8">
        <v>606133</v>
      </c>
    </row>
    <row r="6" spans="1:2" x14ac:dyDescent="0.3">
      <c r="A6" s="7" t="s">
        <v>98</v>
      </c>
      <c r="B6" s="8">
        <v>561102</v>
      </c>
    </row>
    <row r="7" spans="1:2" x14ac:dyDescent="0.3">
      <c r="A7" s="7" t="s">
        <v>51</v>
      </c>
      <c r="B7" s="8">
        <v>528460</v>
      </c>
    </row>
    <row r="8" spans="1:2" x14ac:dyDescent="0.3">
      <c r="A8" s="7" t="s">
        <v>107</v>
      </c>
      <c r="B8" s="8">
        <v>300159</v>
      </c>
    </row>
    <row r="9" spans="1:2" x14ac:dyDescent="0.3">
      <c r="A9" s="6" t="s">
        <v>139</v>
      </c>
      <c r="B9" s="5">
        <v>3749168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3852-1741-4FA0-AFF4-D2913E7999C9}">
  <dimension ref="A2:B15"/>
  <sheetViews>
    <sheetView workbookViewId="0">
      <selection activeCell="M10" sqref="M10"/>
    </sheetView>
  </sheetViews>
  <sheetFormatPr defaultRowHeight="14.4" x14ac:dyDescent="0.3"/>
  <cols>
    <col min="2" max="2" width="12.44140625" customWidth="1"/>
  </cols>
  <sheetData>
    <row r="2" spans="1:2" x14ac:dyDescent="0.3">
      <c r="A2" s="9" t="s">
        <v>137</v>
      </c>
      <c r="B2" s="9" t="s">
        <v>145</v>
      </c>
    </row>
    <row r="3" spans="1:2" x14ac:dyDescent="0.3">
      <c r="A3" s="11" t="s">
        <v>35</v>
      </c>
      <c r="B3" s="12">
        <v>393471</v>
      </c>
    </row>
    <row r="4" spans="1:2" x14ac:dyDescent="0.3">
      <c r="A4" s="11" t="s">
        <v>36</v>
      </c>
      <c r="B4" s="12">
        <v>370279</v>
      </c>
    </row>
    <row r="5" spans="1:2" x14ac:dyDescent="0.3">
      <c r="A5" s="11" t="s">
        <v>37</v>
      </c>
      <c r="B5" s="12">
        <v>369381</v>
      </c>
    </row>
    <row r="6" spans="1:2" x14ac:dyDescent="0.3">
      <c r="A6" s="11" t="s">
        <v>34</v>
      </c>
      <c r="B6" s="12">
        <v>337770</v>
      </c>
    </row>
    <row r="7" spans="1:2" x14ac:dyDescent="0.3">
      <c r="A7" s="11" t="s">
        <v>38</v>
      </c>
      <c r="B7" s="12">
        <v>349057</v>
      </c>
    </row>
    <row r="8" spans="1:2" x14ac:dyDescent="0.3">
      <c r="A8" s="11" t="s">
        <v>39</v>
      </c>
      <c r="B8" s="12">
        <v>338047</v>
      </c>
    </row>
    <row r="9" spans="1:2" x14ac:dyDescent="0.3">
      <c r="A9" s="11" t="s">
        <v>130</v>
      </c>
      <c r="B9" s="12">
        <v>343026</v>
      </c>
    </row>
    <row r="10" spans="1:2" x14ac:dyDescent="0.3">
      <c r="A10" s="11" t="s">
        <v>129</v>
      </c>
      <c r="B10" s="12">
        <v>354273</v>
      </c>
    </row>
    <row r="11" spans="1:2" x14ac:dyDescent="0.3">
      <c r="A11" s="11" t="s">
        <v>128</v>
      </c>
      <c r="B11" s="12">
        <v>358879</v>
      </c>
    </row>
    <row r="12" spans="1:2" x14ac:dyDescent="0.3">
      <c r="A12" s="11" t="s">
        <v>125</v>
      </c>
      <c r="B12" s="12">
        <v>321345</v>
      </c>
    </row>
    <row r="13" spans="1:2" x14ac:dyDescent="0.3">
      <c r="A13" s="11" t="s">
        <v>126</v>
      </c>
      <c r="B13" s="12">
        <v>351592</v>
      </c>
    </row>
    <row r="14" spans="1:2" x14ac:dyDescent="0.3">
      <c r="A14" s="11" t="s">
        <v>127</v>
      </c>
      <c r="B14" s="12">
        <v>397947</v>
      </c>
    </row>
    <row r="15" spans="1:2" x14ac:dyDescent="0.3">
      <c r="A15" s="10" t="s">
        <v>139</v>
      </c>
      <c r="B15" s="9">
        <v>4285067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A6A6-6646-48F3-85D1-49FF0E6DB819}">
  <dimension ref="A3:B15"/>
  <sheetViews>
    <sheetView workbookViewId="0">
      <selection activeCell="J21" sqref="J21"/>
    </sheetView>
  </sheetViews>
  <sheetFormatPr defaultRowHeight="14.4" x14ac:dyDescent="0.3"/>
  <cols>
    <col min="1" max="1" width="12.44140625" bestFit="1" customWidth="1"/>
    <col min="2" max="2" width="11.109375" bestFit="1" customWidth="1"/>
  </cols>
  <sheetData>
    <row r="3" spans="1:2" x14ac:dyDescent="0.3">
      <c r="A3" s="20" t="s">
        <v>137</v>
      </c>
      <c r="B3" s="20" t="s">
        <v>138</v>
      </c>
    </row>
    <row r="4" spans="1:2" x14ac:dyDescent="0.3">
      <c r="A4" s="22" t="s">
        <v>117</v>
      </c>
      <c r="B4" s="23">
        <v>18099</v>
      </c>
    </row>
    <row r="5" spans="1:2" x14ac:dyDescent="0.3">
      <c r="A5" s="22" t="s">
        <v>61</v>
      </c>
      <c r="B5" s="23">
        <v>140807</v>
      </c>
    </row>
    <row r="6" spans="1:2" x14ac:dyDescent="0.3">
      <c r="A6" s="22" t="s">
        <v>65</v>
      </c>
      <c r="B6" s="23">
        <v>306051</v>
      </c>
    </row>
    <row r="7" spans="1:2" x14ac:dyDescent="0.3">
      <c r="A7" s="22" t="s">
        <v>17</v>
      </c>
      <c r="B7" s="23">
        <v>589741</v>
      </c>
    </row>
    <row r="8" spans="1:2" x14ac:dyDescent="0.3">
      <c r="A8" s="22" t="s">
        <v>43</v>
      </c>
      <c r="B8" s="23">
        <v>1439979</v>
      </c>
    </row>
    <row r="9" spans="1:2" x14ac:dyDescent="0.3">
      <c r="A9" s="22" t="s">
        <v>9</v>
      </c>
      <c r="B9" s="23">
        <v>823824</v>
      </c>
    </row>
    <row r="10" spans="1:2" x14ac:dyDescent="0.3">
      <c r="A10" s="22" t="s">
        <v>45</v>
      </c>
      <c r="B10" s="23">
        <v>269454</v>
      </c>
    </row>
    <row r="11" spans="1:2" x14ac:dyDescent="0.3">
      <c r="A11" s="22" t="s">
        <v>44</v>
      </c>
      <c r="B11" s="23">
        <v>46925</v>
      </c>
    </row>
    <row r="12" spans="1:2" x14ac:dyDescent="0.3">
      <c r="A12" s="22" t="s">
        <v>18</v>
      </c>
      <c r="B12" s="23">
        <v>2022</v>
      </c>
    </row>
    <row r="13" spans="1:2" x14ac:dyDescent="0.3">
      <c r="A13" s="22" t="s">
        <v>85</v>
      </c>
      <c r="B13" s="23">
        <v>6983</v>
      </c>
    </row>
    <row r="14" spans="1:2" x14ac:dyDescent="0.3">
      <c r="A14" s="22" t="s">
        <v>50</v>
      </c>
      <c r="B14" s="23">
        <v>640971</v>
      </c>
    </row>
    <row r="15" spans="1:2" x14ac:dyDescent="0.3">
      <c r="A15" s="21" t="s">
        <v>139</v>
      </c>
      <c r="B15" s="20">
        <v>4284856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3AC5-DCBD-4CAC-98EE-541F8D7608DC}">
  <dimension ref="A3:B9"/>
  <sheetViews>
    <sheetView workbookViewId="0">
      <selection activeCell="O20" sqref="O20"/>
    </sheetView>
  </sheetViews>
  <sheetFormatPr defaultRowHeight="14.4" x14ac:dyDescent="0.3"/>
  <cols>
    <col min="1" max="1" width="12.44140625" bestFit="1" customWidth="1"/>
    <col min="2" max="2" width="11.109375" bestFit="1" customWidth="1"/>
    <col min="16" max="16" width="10.33203125" customWidth="1"/>
  </cols>
  <sheetData>
    <row r="3" spans="1:2" x14ac:dyDescent="0.3">
      <c r="A3" s="9" t="s">
        <v>137</v>
      </c>
      <c r="B3" s="9" t="s">
        <v>138</v>
      </c>
    </row>
    <row r="4" spans="1:2" x14ac:dyDescent="0.3">
      <c r="A4" s="11" t="s">
        <v>47</v>
      </c>
      <c r="B4" s="12">
        <v>1062325</v>
      </c>
    </row>
    <row r="5" spans="1:2" x14ac:dyDescent="0.3">
      <c r="A5" s="11" t="s">
        <v>29</v>
      </c>
      <c r="B5" s="12">
        <v>713490</v>
      </c>
    </row>
    <row r="6" spans="1:2" x14ac:dyDescent="0.3">
      <c r="A6" s="11" t="s">
        <v>112</v>
      </c>
      <c r="B6" s="12">
        <v>2902</v>
      </c>
    </row>
    <row r="7" spans="1:2" x14ac:dyDescent="0.3">
      <c r="A7" s="11" t="s">
        <v>10</v>
      </c>
      <c r="B7" s="12">
        <v>344537</v>
      </c>
    </row>
    <row r="8" spans="1:2" x14ac:dyDescent="0.3">
      <c r="A8" s="11" t="s">
        <v>46</v>
      </c>
      <c r="B8" s="12">
        <v>2161602</v>
      </c>
    </row>
    <row r="9" spans="1:2" x14ac:dyDescent="0.3">
      <c r="A9" s="10" t="s">
        <v>139</v>
      </c>
      <c r="B9" s="9">
        <v>4284856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9A2B-A1AC-48BA-A6E9-59823BB6D68B}">
  <dimension ref="A3:B14"/>
  <sheetViews>
    <sheetView workbookViewId="0">
      <selection activeCell="J12" sqref="J12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78" width="15.5546875" bestFit="1" customWidth="1"/>
    <col min="79" max="79" width="10.5546875" bestFit="1" customWidth="1"/>
    <col min="80" max="156" width="15.5546875" bestFit="1" customWidth="1"/>
    <col min="157" max="157" width="17.88671875" bestFit="1" customWidth="1"/>
    <col min="158" max="158" width="20.109375" bestFit="1" customWidth="1"/>
    <col min="159" max="160" width="15.5546875" bestFit="1" customWidth="1"/>
    <col min="161" max="161" width="17.77734375" bestFit="1" customWidth="1"/>
    <col min="162" max="162" width="20" bestFit="1" customWidth="1"/>
    <col min="163" max="164" width="15.5546875" bestFit="1" customWidth="1"/>
    <col min="165" max="165" width="17.77734375" bestFit="1" customWidth="1"/>
    <col min="166" max="166" width="20" bestFit="1" customWidth="1"/>
    <col min="167" max="168" width="15.5546875" bestFit="1" customWidth="1"/>
    <col min="169" max="169" width="17.77734375" bestFit="1" customWidth="1"/>
    <col min="170" max="170" width="20" bestFit="1" customWidth="1"/>
    <col min="171" max="172" width="15.5546875" bestFit="1" customWidth="1"/>
    <col min="173" max="173" width="17.77734375" bestFit="1" customWidth="1"/>
    <col min="174" max="174" width="20" bestFit="1" customWidth="1"/>
    <col min="175" max="176" width="15.5546875" bestFit="1" customWidth="1"/>
    <col min="177" max="177" width="17.77734375" bestFit="1" customWidth="1"/>
    <col min="178" max="178" width="20" bestFit="1" customWidth="1"/>
    <col min="179" max="180" width="15.5546875" bestFit="1" customWidth="1"/>
    <col min="181" max="181" width="17.77734375" bestFit="1" customWidth="1"/>
    <col min="182" max="182" width="20" bestFit="1" customWidth="1"/>
    <col min="183" max="184" width="15.5546875" bestFit="1" customWidth="1"/>
    <col min="185" max="185" width="17.77734375" bestFit="1" customWidth="1"/>
    <col min="186" max="186" width="20" bestFit="1" customWidth="1"/>
    <col min="187" max="188" width="15.5546875" bestFit="1" customWidth="1"/>
    <col min="189" max="189" width="17.77734375" bestFit="1" customWidth="1"/>
    <col min="190" max="190" width="20" bestFit="1" customWidth="1"/>
    <col min="191" max="192" width="15.5546875" bestFit="1" customWidth="1"/>
    <col min="193" max="193" width="17.77734375" bestFit="1" customWidth="1"/>
    <col min="194" max="194" width="20" bestFit="1" customWidth="1"/>
    <col min="195" max="196" width="15.5546875" bestFit="1" customWidth="1"/>
    <col min="197" max="197" width="17.77734375" bestFit="1" customWidth="1"/>
    <col min="198" max="198" width="20" bestFit="1" customWidth="1"/>
    <col min="199" max="200" width="15.5546875" bestFit="1" customWidth="1"/>
    <col min="201" max="201" width="17.77734375" bestFit="1" customWidth="1"/>
    <col min="202" max="202" width="20" bestFit="1" customWidth="1"/>
    <col min="203" max="204" width="15.5546875" bestFit="1" customWidth="1"/>
    <col min="205" max="205" width="17.77734375" bestFit="1" customWidth="1"/>
    <col min="206" max="206" width="20" bestFit="1" customWidth="1"/>
    <col min="207" max="208" width="15.5546875" bestFit="1" customWidth="1"/>
    <col min="209" max="209" width="17.77734375" bestFit="1" customWidth="1"/>
    <col min="210" max="210" width="20" bestFit="1" customWidth="1"/>
    <col min="211" max="212" width="15.5546875" bestFit="1" customWidth="1"/>
    <col min="213" max="213" width="17.77734375" bestFit="1" customWidth="1"/>
    <col min="214" max="214" width="20" bestFit="1" customWidth="1"/>
    <col min="215" max="216" width="15.5546875" bestFit="1" customWidth="1"/>
    <col min="217" max="217" width="17.77734375" bestFit="1" customWidth="1"/>
    <col min="218" max="218" width="20" bestFit="1" customWidth="1"/>
    <col min="219" max="220" width="15.5546875" bestFit="1" customWidth="1"/>
    <col min="221" max="221" width="17.77734375" bestFit="1" customWidth="1"/>
    <col min="222" max="222" width="20" bestFit="1" customWidth="1"/>
    <col min="223" max="224" width="15.5546875" bestFit="1" customWidth="1"/>
    <col min="225" max="225" width="17.77734375" bestFit="1" customWidth="1"/>
    <col min="226" max="226" width="20" bestFit="1" customWidth="1"/>
    <col min="227" max="228" width="15.5546875" bestFit="1" customWidth="1"/>
    <col min="229" max="229" width="17.77734375" bestFit="1" customWidth="1"/>
    <col min="230" max="230" width="20" bestFit="1" customWidth="1"/>
    <col min="231" max="232" width="15.5546875" bestFit="1" customWidth="1"/>
    <col min="233" max="233" width="17.77734375" bestFit="1" customWidth="1"/>
    <col min="234" max="234" width="20" bestFit="1" customWidth="1"/>
    <col min="235" max="236" width="15.5546875" bestFit="1" customWidth="1"/>
    <col min="237" max="237" width="17.77734375" bestFit="1" customWidth="1"/>
    <col min="238" max="238" width="20" bestFit="1" customWidth="1"/>
    <col min="239" max="240" width="15.5546875" bestFit="1" customWidth="1"/>
    <col min="241" max="241" width="17.77734375" bestFit="1" customWidth="1"/>
    <col min="242" max="242" width="20" bestFit="1" customWidth="1"/>
    <col min="243" max="244" width="15.5546875" bestFit="1" customWidth="1"/>
    <col min="245" max="245" width="17.77734375" bestFit="1" customWidth="1"/>
    <col min="246" max="246" width="20" bestFit="1" customWidth="1"/>
    <col min="247" max="248" width="15.5546875" bestFit="1" customWidth="1"/>
    <col min="249" max="249" width="17.77734375" bestFit="1" customWidth="1"/>
    <col min="250" max="250" width="20" bestFit="1" customWidth="1"/>
    <col min="251" max="252" width="15.5546875" bestFit="1" customWidth="1"/>
    <col min="253" max="253" width="18.77734375" bestFit="1" customWidth="1"/>
    <col min="254" max="254" width="21" bestFit="1" customWidth="1"/>
    <col min="255" max="256" width="15.5546875" bestFit="1" customWidth="1"/>
    <col min="257" max="257" width="18.77734375" bestFit="1" customWidth="1"/>
    <col min="258" max="258" width="21" bestFit="1" customWidth="1"/>
    <col min="259" max="260" width="15.5546875" bestFit="1" customWidth="1"/>
    <col min="261" max="261" width="18.77734375" bestFit="1" customWidth="1"/>
    <col min="262" max="262" width="21" bestFit="1" customWidth="1"/>
    <col min="263" max="264" width="15.5546875" bestFit="1" customWidth="1"/>
    <col min="265" max="265" width="18.77734375" bestFit="1" customWidth="1"/>
    <col min="266" max="266" width="21" bestFit="1" customWidth="1"/>
    <col min="267" max="268" width="15.5546875" bestFit="1" customWidth="1"/>
    <col min="269" max="269" width="18.77734375" bestFit="1" customWidth="1"/>
    <col min="270" max="270" width="21" bestFit="1" customWidth="1"/>
    <col min="271" max="272" width="15.5546875" bestFit="1" customWidth="1"/>
    <col min="273" max="273" width="18.77734375" bestFit="1" customWidth="1"/>
    <col min="274" max="274" width="21" bestFit="1" customWidth="1"/>
    <col min="275" max="276" width="15.5546875" bestFit="1" customWidth="1"/>
    <col min="277" max="277" width="18.77734375" bestFit="1" customWidth="1"/>
    <col min="278" max="278" width="21" bestFit="1" customWidth="1"/>
    <col min="279" max="280" width="15.5546875" bestFit="1" customWidth="1"/>
    <col min="281" max="281" width="18.77734375" bestFit="1" customWidth="1"/>
    <col min="282" max="282" width="21" bestFit="1" customWidth="1"/>
    <col min="283" max="284" width="15.5546875" bestFit="1" customWidth="1"/>
    <col min="285" max="285" width="18.77734375" bestFit="1" customWidth="1"/>
    <col min="286" max="286" width="21" bestFit="1" customWidth="1"/>
    <col min="287" max="288" width="15.5546875" bestFit="1" customWidth="1"/>
    <col min="289" max="289" width="18.77734375" bestFit="1" customWidth="1"/>
    <col min="290" max="290" width="21" bestFit="1" customWidth="1"/>
    <col min="291" max="292" width="15.5546875" bestFit="1" customWidth="1"/>
    <col min="293" max="293" width="18.77734375" bestFit="1" customWidth="1"/>
    <col min="294" max="294" width="21" bestFit="1" customWidth="1"/>
    <col min="295" max="296" width="15.5546875" bestFit="1" customWidth="1"/>
    <col min="297" max="297" width="18.77734375" bestFit="1" customWidth="1"/>
    <col min="298" max="298" width="21" bestFit="1" customWidth="1"/>
    <col min="299" max="300" width="15.5546875" bestFit="1" customWidth="1"/>
    <col min="301" max="301" width="18.77734375" bestFit="1" customWidth="1"/>
    <col min="302" max="302" width="21" bestFit="1" customWidth="1"/>
    <col min="303" max="304" width="15.5546875" bestFit="1" customWidth="1"/>
    <col min="305" max="305" width="18.77734375" bestFit="1" customWidth="1"/>
    <col min="306" max="306" width="21" bestFit="1" customWidth="1"/>
    <col min="307" max="308" width="15.5546875" bestFit="1" customWidth="1"/>
    <col min="309" max="309" width="18.77734375" bestFit="1" customWidth="1"/>
    <col min="310" max="310" width="21" bestFit="1" customWidth="1"/>
    <col min="311" max="312" width="15.5546875" bestFit="1" customWidth="1"/>
    <col min="313" max="313" width="18.77734375" bestFit="1" customWidth="1"/>
    <col min="314" max="314" width="21" bestFit="1" customWidth="1"/>
    <col min="315" max="316" width="15.5546875" bestFit="1" customWidth="1"/>
    <col min="317" max="317" width="19.77734375" bestFit="1" customWidth="1"/>
    <col min="318" max="318" width="22.109375" bestFit="1" customWidth="1"/>
    <col min="319" max="319" width="17.88671875" bestFit="1" customWidth="1"/>
    <col min="320" max="320" width="20.109375" bestFit="1" customWidth="1"/>
  </cols>
  <sheetData>
    <row r="3" spans="1:2" x14ac:dyDescent="0.3">
      <c r="A3" s="24" t="s">
        <v>137</v>
      </c>
      <c r="B3" s="24" t="s">
        <v>138</v>
      </c>
    </row>
    <row r="4" spans="1:2" x14ac:dyDescent="0.3">
      <c r="A4" s="26" t="s">
        <v>103</v>
      </c>
      <c r="B4" s="27">
        <v>202031</v>
      </c>
    </row>
    <row r="5" spans="1:2" x14ac:dyDescent="0.3">
      <c r="A5" s="26" t="s">
        <v>76</v>
      </c>
      <c r="B5" s="27">
        <v>190855</v>
      </c>
    </row>
    <row r="6" spans="1:2" x14ac:dyDescent="0.3">
      <c r="A6" s="26" t="s">
        <v>68</v>
      </c>
      <c r="B6" s="27">
        <v>190091</v>
      </c>
    </row>
    <row r="7" spans="1:2" x14ac:dyDescent="0.3">
      <c r="A7" s="26" t="s">
        <v>63</v>
      </c>
      <c r="B7" s="27">
        <v>188160</v>
      </c>
    </row>
    <row r="8" spans="1:2" x14ac:dyDescent="0.3">
      <c r="A8" s="26" t="s">
        <v>14</v>
      </c>
      <c r="B8" s="27">
        <v>186919</v>
      </c>
    </row>
    <row r="9" spans="1:2" x14ac:dyDescent="0.3">
      <c r="A9" s="26" t="s">
        <v>75</v>
      </c>
      <c r="B9" s="27">
        <v>172808</v>
      </c>
    </row>
    <row r="10" spans="1:2" x14ac:dyDescent="0.3">
      <c r="A10" s="26" t="s">
        <v>62</v>
      </c>
      <c r="B10" s="27">
        <v>172094</v>
      </c>
    </row>
    <row r="11" spans="1:2" x14ac:dyDescent="0.3">
      <c r="A11" s="26" t="s">
        <v>132</v>
      </c>
      <c r="B11" s="27">
        <v>167988</v>
      </c>
    </row>
    <row r="12" spans="1:2" x14ac:dyDescent="0.3">
      <c r="A12" s="26" t="s">
        <v>54</v>
      </c>
      <c r="B12" s="27">
        <v>166364</v>
      </c>
    </row>
    <row r="13" spans="1:2" x14ac:dyDescent="0.3">
      <c r="A13" s="26" t="s">
        <v>102</v>
      </c>
      <c r="B13" s="27">
        <v>161611</v>
      </c>
    </row>
    <row r="14" spans="1:2" x14ac:dyDescent="0.3">
      <c r="A14" s="25" t="s">
        <v>139</v>
      </c>
      <c r="B14" s="24">
        <v>1798921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D794-EB57-436C-85F9-E4125FFF7E84}">
  <dimension ref="A4:B20"/>
  <sheetViews>
    <sheetView workbookViewId="0">
      <selection activeCell="P13" sqref="P13"/>
    </sheetView>
  </sheetViews>
  <sheetFormatPr defaultRowHeight="14.4" x14ac:dyDescent="0.3"/>
  <cols>
    <col min="1" max="2" width="11.109375" bestFit="1" customWidth="1"/>
    <col min="3" max="4" width="10.6640625" bestFit="1" customWidth="1"/>
  </cols>
  <sheetData>
    <row r="4" spans="1:2" x14ac:dyDescent="0.3">
      <c r="A4" s="24" t="s">
        <v>142</v>
      </c>
      <c r="B4" s="24" t="s">
        <v>138</v>
      </c>
    </row>
    <row r="5" spans="1:2" x14ac:dyDescent="0.3">
      <c r="A5" s="26" t="s">
        <v>33</v>
      </c>
      <c r="B5" s="27">
        <v>0</v>
      </c>
    </row>
    <row r="6" spans="1:2" x14ac:dyDescent="0.3">
      <c r="A6" s="26" t="s">
        <v>115</v>
      </c>
      <c r="B6" s="27">
        <v>0</v>
      </c>
    </row>
    <row r="7" spans="1:2" x14ac:dyDescent="0.3">
      <c r="A7" s="26" t="s">
        <v>140</v>
      </c>
      <c r="B7" s="27"/>
    </row>
    <row r="8" spans="1:2" x14ac:dyDescent="0.3">
      <c r="A8" s="26" t="s">
        <v>4</v>
      </c>
      <c r="B8" s="27">
        <v>9</v>
      </c>
    </row>
    <row r="9" spans="1:2" x14ac:dyDescent="0.3">
      <c r="A9" s="26" t="s">
        <v>88</v>
      </c>
      <c r="B9" s="27">
        <v>22</v>
      </c>
    </row>
    <row r="10" spans="1:2" x14ac:dyDescent="0.3">
      <c r="A10" s="26" t="s">
        <v>97</v>
      </c>
      <c r="B10" s="27">
        <v>66</v>
      </c>
    </row>
    <row r="11" spans="1:2" x14ac:dyDescent="0.3">
      <c r="A11" s="26" t="s">
        <v>19</v>
      </c>
      <c r="B11" s="27">
        <v>259</v>
      </c>
    </row>
    <row r="12" spans="1:2" x14ac:dyDescent="0.3">
      <c r="A12" s="26" t="s">
        <v>53</v>
      </c>
      <c r="B12" s="27">
        <v>273</v>
      </c>
    </row>
    <row r="13" spans="1:2" x14ac:dyDescent="0.3">
      <c r="A13" s="26" t="s">
        <v>30</v>
      </c>
      <c r="B13" s="27">
        <v>292</v>
      </c>
    </row>
    <row r="14" spans="1:2" x14ac:dyDescent="0.3">
      <c r="A14" s="26" t="s">
        <v>42</v>
      </c>
      <c r="B14" s="27">
        <v>528</v>
      </c>
    </row>
    <row r="15" spans="1:2" x14ac:dyDescent="0.3">
      <c r="A15" s="26" t="s">
        <v>28</v>
      </c>
      <c r="B15" s="27">
        <v>599</v>
      </c>
    </row>
    <row r="16" spans="1:2" x14ac:dyDescent="0.3">
      <c r="A16" s="26" t="s">
        <v>119</v>
      </c>
      <c r="B16" s="27">
        <v>943</v>
      </c>
    </row>
    <row r="17" spans="1:2" x14ac:dyDescent="0.3">
      <c r="A17" s="26" t="s">
        <v>122</v>
      </c>
      <c r="B17" s="27">
        <v>1193</v>
      </c>
    </row>
    <row r="18" spans="1:2" x14ac:dyDescent="0.3">
      <c r="A18" s="26" t="s">
        <v>25</v>
      </c>
      <c r="B18" s="27">
        <v>1218</v>
      </c>
    </row>
    <row r="19" spans="1:2" x14ac:dyDescent="0.3">
      <c r="A19" s="26" t="s">
        <v>48</v>
      </c>
      <c r="B19" s="27">
        <v>1267</v>
      </c>
    </row>
    <row r="20" spans="1:2" x14ac:dyDescent="0.3">
      <c r="A20" s="25" t="s">
        <v>139</v>
      </c>
      <c r="B20" s="24">
        <v>6669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43F5-7BD7-4230-A2E1-B96596897A5C}">
  <dimension ref="A1:N20"/>
  <sheetViews>
    <sheetView workbookViewId="0">
      <selection activeCell="Q14" sqref="Q14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4" width="7" bestFit="1" customWidth="1"/>
    <col min="5" max="5" width="5.88671875" customWidth="1"/>
    <col min="6" max="6" width="8.5546875" customWidth="1"/>
    <col min="7" max="7" width="7.21875" customWidth="1"/>
    <col min="8" max="8" width="8.33203125" customWidth="1"/>
    <col min="9" max="9" width="7.6640625" customWidth="1"/>
    <col min="10" max="11" width="8.6640625" bestFit="1" customWidth="1"/>
    <col min="12" max="13" width="7" bestFit="1" customWidth="1"/>
    <col min="14" max="14" width="10.5546875" bestFit="1" customWidth="1"/>
  </cols>
  <sheetData>
    <row r="1" spans="1:14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1.2" x14ac:dyDescent="0.6">
      <c r="A2" s="15"/>
      <c r="B2" s="15"/>
      <c r="C2" s="15"/>
      <c r="D2" s="15"/>
      <c r="E2" s="15"/>
      <c r="F2" s="16" t="s">
        <v>143</v>
      </c>
      <c r="G2" s="15"/>
      <c r="H2" s="15"/>
      <c r="I2" s="15"/>
      <c r="J2" s="17" t="s">
        <v>144</v>
      </c>
      <c r="K2" s="15"/>
      <c r="L2" s="15"/>
      <c r="M2" s="15"/>
      <c r="N2" s="15"/>
    </row>
    <row r="3" spans="1:14" x14ac:dyDescent="0.3">
      <c r="A3" s="13" t="s">
        <v>138</v>
      </c>
      <c r="B3" s="13" t="s">
        <v>141</v>
      </c>
    </row>
    <row r="4" spans="1:14" x14ac:dyDescent="0.3">
      <c r="A4" s="13" t="s">
        <v>137</v>
      </c>
      <c r="B4" t="s">
        <v>117</v>
      </c>
      <c r="C4" t="s">
        <v>61</v>
      </c>
      <c r="D4" t="s">
        <v>65</v>
      </c>
      <c r="E4" t="s">
        <v>17</v>
      </c>
      <c r="F4" t="s">
        <v>43</v>
      </c>
      <c r="G4" t="s">
        <v>9</v>
      </c>
      <c r="H4" t="s">
        <v>45</v>
      </c>
      <c r="I4" t="s">
        <v>44</v>
      </c>
      <c r="J4" t="s">
        <v>18</v>
      </c>
      <c r="K4" t="s">
        <v>85</v>
      </c>
      <c r="L4" t="s">
        <v>50</v>
      </c>
      <c r="M4" t="s">
        <v>140</v>
      </c>
      <c r="N4" t="s">
        <v>139</v>
      </c>
    </row>
    <row r="5" spans="1:14" x14ac:dyDescent="0.3">
      <c r="A5" s="14" t="s">
        <v>1</v>
      </c>
      <c r="F5">
        <v>4702</v>
      </c>
      <c r="G5">
        <v>2737</v>
      </c>
      <c r="I5">
        <v>9</v>
      </c>
      <c r="N5">
        <v>7448</v>
      </c>
    </row>
    <row r="6" spans="1:14" x14ac:dyDescent="0.3">
      <c r="A6" s="14" t="s">
        <v>6</v>
      </c>
      <c r="F6">
        <v>30690</v>
      </c>
      <c r="G6">
        <v>39182</v>
      </c>
      <c r="N6">
        <v>69872</v>
      </c>
    </row>
    <row r="7" spans="1:14" x14ac:dyDescent="0.3">
      <c r="A7" s="14" t="s">
        <v>12</v>
      </c>
      <c r="E7">
        <v>124782</v>
      </c>
      <c r="F7">
        <v>257325</v>
      </c>
      <c r="G7">
        <v>221696</v>
      </c>
      <c r="I7">
        <v>1543</v>
      </c>
      <c r="J7">
        <v>787</v>
      </c>
      <c r="N7">
        <v>606133</v>
      </c>
    </row>
    <row r="8" spans="1:14" x14ac:dyDescent="0.3">
      <c r="A8" s="14" t="s">
        <v>23</v>
      </c>
      <c r="H8">
        <v>2988</v>
      </c>
      <c r="I8">
        <v>1218</v>
      </c>
      <c r="J8">
        <v>0</v>
      </c>
      <c r="N8">
        <v>4206</v>
      </c>
    </row>
    <row r="9" spans="1:14" x14ac:dyDescent="0.3">
      <c r="A9" s="14" t="s">
        <v>26</v>
      </c>
      <c r="F9">
        <v>106690</v>
      </c>
      <c r="G9">
        <v>73745</v>
      </c>
      <c r="I9">
        <v>599</v>
      </c>
      <c r="J9">
        <v>292</v>
      </c>
      <c r="L9">
        <v>63674</v>
      </c>
      <c r="N9">
        <v>245000</v>
      </c>
    </row>
    <row r="10" spans="1:14" x14ac:dyDescent="0.3">
      <c r="A10" s="14" t="s">
        <v>51</v>
      </c>
      <c r="F10">
        <v>85828</v>
      </c>
      <c r="G10">
        <v>174848</v>
      </c>
      <c r="H10">
        <v>90727</v>
      </c>
      <c r="L10">
        <v>177057</v>
      </c>
      <c r="N10">
        <v>528460</v>
      </c>
    </row>
    <row r="11" spans="1:14" x14ac:dyDescent="0.3">
      <c r="A11" s="14" t="s">
        <v>59</v>
      </c>
      <c r="C11">
        <v>132102</v>
      </c>
      <c r="D11">
        <v>226902</v>
      </c>
      <c r="E11">
        <v>369652</v>
      </c>
      <c r="F11">
        <v>512384</v>
      </c>
      <c r="G11">
        <v>130042</v>
      </c>
      <c r="H11">
        <v>4016</v>
      </c>
      <c r="L11">
        <v>378216</v>
      </c>
      <c r="N11">
        <v>1753314</v>
      </c>
    </row>
    <row r="12" spans="1:14" x14ac:dyDescent="0.3">
      <c r="A12" s="14" t="s">
        <v>78</v>
      </c>
      <c r="D12">
        <v>11812</v>
      </c>
      <c r="G12">
        <v>20910</v>
      </c>
      <c r="H12">
        <v>19639</v>
      </c>
      <c r="I12">
        <v>1870</v>
      </c>
      <c r="K12">
        <v>6983</v>
      </c>
      <c r="N12">
        <v>61214</v>
      </c>
    </row>
    <row r="13" spans="1:14" x14ac:dyDescent="0.3">
      <c r="A13" s="14" t="s">
        <v>86</v>
      </c>
      <c r="F13">
        <v>28987</v>
      </c>
      <c r="I13">
        <v>22</v>
      </c>
      <c r="N13">
        <v>29009</v>
      </c>
    </row>
    <row r="14" spans="1:14" x14ac:dyDescent="0.3">
      <c r="A14" s="14" t="s">
        <v>89</v>
      </c>
      <c r="C14">
        <v>8705</v>
      </c>
      <c r="F14">
        <v>11000</v>
      </c>
      <c r="L14">
        <v>22024</v>
      </c>
      <c r="N14">
        <v>41729</v>
      </c>
    </row>
    <row r="15" spans="1:14" x14ac:dyDescent="0.3">
      <c r="A15" s="14" t="s">
        <v>93</v>
      </c>
      <c r="G15">
        <v>33184</v>
      </c>
      <c r="I15">
        <v>1973</v>
      </c>
      <c r="N15">
        <v>35157</v>
      </c>
    </row>
    <row r="16" spans="1:14" x14ac:dyDescent="0.3">
      <c r="A16" s="14" t="s">
        <v>98</v>
      </c>
      <c r="D16">
        <v>67337</v>
      </c>
      <c r="E16">
        <v>45380</v>
      </c>
      <c r="F16">
        <v>379537</v>
      </c>
      <c r="G16">
        <v>23664</v>
      </c>
      <c r="H16">
        <v>45184</v>
      </c>
      <c r="N16">
        <v>561102</v>
      </c>
    </row>
    <row r="17" spans="1:14" x14ac:dyDescent="0.3">
      <c r="A17" s="14" t="s">
        <v>107</v>
      </c>
      <c r="B17">
        <v>18099</v>
      </c>
      <c r="E17">
        <v>49927</v>
      </c>
      <c r="F17">
        <v>22836</v>
      </c>
      <c r="G17">
        <v>62956</v>
      </c>
      <c r="H17">
        <v>106900</v>
      </c>
      <c r="I17">
        <v>38498</v>
      </c>
      <c r="J17">
        <v>943</v>
      </c>
      <c r="N17">
        <v>300159</v>
      </c>
    </row>
    <row r="18" spans="1:14" x14ac:dyDescent="0.3">
      <c r="A18" s="14" t="s">
        <v>120</v>
      </c>
      <c r="G18">
        <v>40860</v>
      </c>
      <c r="I18">
        <v>1193</v>
      </c>
      <c r="N18">
        <v>42053</v>
      </c>
    </row>
    <row r="19" spans="1:14" x14ac:dyDescent="0.3">
      <c r="A19" s="14" t="s">
        <v>140</v>
      </c>
    </row>
    <row r="20" spans="1:14" x14ac:dyDescent="0.3">
      <c r="A20" s="14" t="s">
        <v>139</v>
      </c>
      <c r="B20">
        <v>18099</v>
      </c>
      <c r="C20">
        <v>140807</v>
      </c>
      <c r="D20">
        <v>306051</v>
      </c>
      <c r="E20">
        <v>589741</v>
      </c>
      <c r="F20">
        <v>1439979</v>
      </c>
      <c r="G20">
        <v>823824</v>
      </c>
      <c r="H20">
        <v>269454</v>
      </c>
      <c r="I20">
        <v>46925</v>
      </c>
      <c r="J20">
        <v>2022</v>
      </c>
      <c r="K20">
        <v>6983</v>
      </c>
      <c r="L20">
        <v>640971</v>
      </c>
      <c r="N20">
        <v>4284856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FCB7-73F3-4FE3-A53D-75509544C257}">
  <dimension ref="A2:G14"/>
  <sheetViews>
    <sheetView workbookViewId="0">
      <selection activeCell="H8" sqref="H8"/>
    </sheetView>
  </sheetViews>
  <sheetFormatPr defaultRowHeight="14.4" x14ac:dyDescent="0.3"/>
  <sheetData>
    <row r="2" spans="1:7" ht="18" x14ac:dyDescent="0.3">
      <c r="A2" s="18" t="s">
        <v>146</v>
      </c>
    </row>
    <row r="3" spans="1:7" x14ac:dyDescent="0.3">
      <c r="A3" s="19"/>
    </row>
    <row r="4" spans="1:7" x14ac:dyDescent="0.3">
      <c r="A4" s="28" t="s">
        <v>147</v>
      </c>
      <c r="B4" s="29"/>
      <c r="C4" s="29"/>
      <c r="D4" s="29"/>
      <c r="E4" s="29"/>
      <c r="F4" s="29"/>
      <c r="G4" s="29"/>
    </row>
    <row r="5" spans="1:7" x14ac:dyDescent="0.3">
      <c r="A5" s="28"/>
      <c r="B5" s="29"/>
      <c r="C5" s="29"/>
      <c r="D5" s="29"/>
      <c r="E5" s="29"/>
      <c r="F5" s="29"/>
      <c r="G5" s="29"/>
    </row>
    <row r="6" spans="1:7" x14ac:dyDescent="0.3">
      <c r="A6" s="28" t="s">
        <v>148</v>
      </c>
      <c r="B6" s="29"/>
      <c r="C6" s="29"/>
      <c r="D6" s="29"/>
      <c r="E6" s="29"/>
      <c r="F6" s="29"/>
      <c r="G6" s="29"/>
    </row>
    <row r="7" spans="1:7" x14ac:dyDescent="0.3">
      <c r="A7" s="28"/>
      <c r="B7" s="29"/>
      <c r="C7" s="29"/>
      <c r="D7" s="29"/>
      <c r="E7" s="29"/>
      <c r="F7" s="29"/>
      <c r="G7" s="29"/>
    </row>
    <row r="8" spans="1:7" x14ac:dyDescent="0.3">
      <c r="A8" s="28" t="s">
        <v>149</v>
      </c>
      <c r="B8" s="29"/>
      <c r="C8" s="29"/>
      <c r="D8" s="29"/>
      <c r="E8" s="29"/>
      <c r="F8" s="29"/>
      <c r="G8" s="29"/>
    </row>
    <row r="9" spans="1:7" x14ac:dyDescent="0.3">
      <c r="A9" s="28"/>
      <c r="B9" s="29"/>
      <c r="C9" s="29"/>
      <c r="D9" s="29"/>
      <c r="E9" s="29"/>
      <c r="F9" s="29"/>
      <c r="G9" s="29"/>
    </row>
    <row r="10" spans="1:7" x14ac:dyDescent="0.3">
      <c r="A10" s="28" t="s">
        <v>150</v>
      </c>
      <c r="B10" s="29"/>
      <c r="C10" s="29"/>
      <c r="D10" s="29"/>
      <c r="E10" s="29"/>
      <c r="F10" s="29"/>
      <c r="G10" s="29"/>
    </row>
    <row r="11" spans="1:7" x14ac:dyDescent="0.3">
      <c r="A11" s="28"/>
      <c r="B11" s="29"/>
      <c r="C11" s="29"/>
      <c r="D11" s="29"/>
      <c r="E11" s="29"/>
      <c r="F11" s="29"/>
      <c r="G11" s="29"/>
    </row>
    <row r="12" spans="1:7" x14ac:dyDescent="0.3">
      <c r="A12" s="28" t="s">
        <v>151</v>
      </c>
      <c r="B12" s="29"/>
      <c r="C12" s="29"/>
      <c r="D12" s="29"/>
      <c r="E12" s="29"/>
      <c r="F12" s="29"/>
      <c r="G12" s="29"/>
    </row>
    <row r="13" spans="1:7" x14ac:dyDescent="0.3">
      <c r="A13" s="28"/>
      <c r="B13" s="29"/>
      <c r="C13" s="29"/>
      <c r="D13" s="29"/>
      <c r="E13" s="29"/>
      <c r="F13" s="29"/>
      <c r="G13" s="29"/>
    </row>
    <row r="14" spans="1:7" x14ac:dyDescent="0.3">
      <c r="A14" s="28" t="s">
        <v>152</v>
      </c>
      <c r="B14" s="29"/>
      <c r="C14" s="29"/>
      <c r="D14" s="29"/>
      <c r="E14" s="29"/>
      <c r="F14" s="29"/>
      <c r="G14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ED02BE-B811-420C-911E-5ADE41EBE9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Brand Performance</vt:lpstr>
      <vt:lpstr>Monthly Sales Trend</vt:lpstr>
      <vt:lpstr>Segment Wise Sales </vt:lpstr>
      <vt:lpstr>Body Type Sales Distribution</vt:lpstr>
      <vt:lpstr>Top 10 Cars Sold in 2024</vt:lpstr>
      <vt:lpstr>Least Sale Cars in 2024</vt:lpstr>
      <vt:lpstr>Brand Positioning</vt:lpstr>
      <vt:lpstr>Excel_Insights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Chakraborty</dc:creator>
  <cp:lastModifiedBy>Atharva Bhusange</cp:lastModifiedBy>
  <dcterms:created xsi:type="dcterms:W3CDTF">2025-01-12T19:49:18Z</dcterms:created>
  <dcterms:modified xsi:type="dcterms:W3CDTF">2026-01-28T12:46:56Z</dcterms:modified>
</cp:coreProperties>
</file>